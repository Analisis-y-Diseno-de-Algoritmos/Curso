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Universidad_Panamerica\2026-1\Analisis_y_diseño_de_Algoritmos\"/>
    </mc:Choice>
  </mc:AlternateContent>
  <xr:revisionPtr revIDLastSave="0" documentId="13_ncr:1_{D596264A-C316-4C7F-BA24-9ED439A846D5}" xr6:coauthVersionLast="47" xr6:coauthVersionMax="47" xr10:uidLastSave="{00000000-0000-0000-0000-000000000000}"/>
  <bookViews>
    <workbookView xWindow="1131" yWindow="1131" windowWidth="9112" windowHeight="7380" xr2:uid="{00000000-000D-0000-FFFF-FFFF00000000}"/>
  </bookViews>
  <sheets>
    <sheet name="Parcia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6" i="2"/>
  <c r="E11" i="2"/>
  <c r="E2" i="2"/>
  <c r="D14" i="2"/>
  <c r="E14" i="2" s="1"/>
  <c r="D8" i="2"/>
  <c r="E8" i="2" s="1"/>
  <c r="D13" i="2"/>
  <c r="E13" i="2" s="1"/>
  <c r="D12" i="2"/>
  <c r="E12" i="2" s="1"/>
  <c r="D10" i="2"/>
  <c r="E10" i="2" s="1"/>
  <c r="D5" i="2"/>
  <c r="E5" i="2" s="1"/>
  <c r="D9" i="2"/>
  <c r="E9" i="2" s="1"/>
  <c r="D11" i="2"/>
  <c r="D4" i="2"/>
  <c r="D3" i="2"/>
  <c r="D6" i="2"/>
  <c r="D7" i="2"/>
  <c r="E7" i="2" s="1"/>
  <c r="D2" i="2"/>
</calcChain>
</file>

<file path=xl/sharedStrings.xml><?xml version="1.0" encoding="utf-8"?>
<sst xmlns="http://schemas.openxmlformats.org/spreadsheetml/2006/main" count="31" uniqueCount="29">
  <si>
    <t>Nombre</t>
  </si>
  <si>
    <t>Apellido</t>
  </si>
  <si>
    <t xml:space="preserve">ID </t>
  </si>
  <si>
    <t>Aristeo Farid</t>
  </si>
  <si>
    <t>Mucito García</t>
  </si>
  <si>
    <t>José Daniel</t>
  </si>
  <si>
    <t>Molina Carrillo</t>
  </si>
  <si>
    <t>Gustavo</t>
  </si>
  <si>
    <t>Torres Tejeda</t>
  </si>
  <si>
    <t>María Fernanda</t>
  </si>
  <si>
    <t>Soria Trejo</t>
  </si>
  <si>
    <t>Jan Alexander</t>
  </si>
  <si>
    <t>Andrade Almonte</t>
  </si>
  <si>
    <t>Arturo</t>
  </si>
  <si>
    <t>Prudencio Bonilla</t>
  </si>
  <si>
    <t>Maximiliano</t>
  </si>
  <si>
    <t>De Ochoa López</t>
  </si>
  <si>
    <t>Leonardo Daniel</t>
  </si>
  <si>
    <t>Arenas Serafín</t>
  </si>
  <si>
    <t>Ricardo Daniel</t>
  </si>
  <si>
    <t>Uribe Guizado</t>
  </si>
  <si>
    <t>José Iván</t>
  </si>
  <si>
    <t>Reyna Blanco</t>
  </si>
  <si>
    <t>Santiago</t>
  </si>
  <si>
    <t>Saldivar Garcini</t>
  </si>
  <si>
    <t>Vázquez Serna</t>
  </si>
  <si>
    <t>Exámen</t>
  </si>
  <si>
    <t>Garabay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</si>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</sst>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6D80-E79F-4690-843D-70AC08C75F48}">
  <dimension ref="A1:E14"/>
  <sheetViews>
    <sheetView tabSelected="1" topLeftCell="A4" workbookViewId="0">
      <selection activeCell="F5" sqref="F5"/>
    </sheetView>
  </sheetViews>
  <sheetFormatPr baseColWidth="10" defaultRowHeight="14.6" x14ac:dyDescent="0.4"/>
  <sheetData>
    <row r="1" spans="1:5" x14ac:dyDescent="0.4">
      <c r="A1" t="s">
        <v>0</v>
      </c>
      <c r="B1" t="s">
        <v>1</v>
      </c>
      <c r="C1" t="s">
        <v>2</v>
      </c>
      <c r="D1" t="s">
        <v>26</v>
      </c>
      <c r="E1" t="s">
        <v>28</v>
      </c>
    </row>
    <row r="2" spans="1:5" x14ac:dyDescent="0.4">
      <c r="A2" t="s">
        <v>3</v>
      </c>
      <c r="B2" t="s">
        <v>4</v>
      </c>
      <c r="C2">
        <v>281528</v>
      </c>
      <c r="D2" s="1">
        <f>7/7</f>
        <v>1</v>
      </c>
      <c r="E2" s="1">
        <f>0.7+0.3*D2</f>
        <v>1</v>
      </c>
    </row>
    <row r="3" spans="1:5" x14ac:dyDescent="0.4">
      <c r="A3" t="s">
        <v>5</v>
      </c>
      <c r="B3" t="s">
        <v>6</v>
      </c>
      <c r="C3">
        <v>282193</v>
      </c>
      <c r="D3" s="1">
        <f>1/7</f>
        <v>0.14285714285714285</v>
      </c>
      <c r="E3" s="1">
        <f t="shared" ref="E3:E14" si="0">0.7+0.3*D3</f>
        <v>0.74285714285714277</v>
      </c>
    </row>
    <row r="4" spans="1:5" x14ac:dyDescent="0.4">
      <c r="A4" t="s">
        <v>7</v>
      </c>
      <c r="B4" t="s">
        <v>8</v>
      </c>
      <c r="C4">
        <v>255300</v>
      </c>
      <c r="D4" s="1">
        <f>7/7</f>
        <v>1</v>
      </c>
      <c r="E4" s="1">
        <f t="shared" si="0"/>
        <v>1</v>
      </c>
    </row>
    <row r="5" spans="1:5" x14ac:dyDescent="0.4">
      <c r="A5" t="s">
        <v>9</v>
      </c>
      <c r="B5" t="s">
        <v>10</v>
      </c>
      <c r="C5">
        <v>276864</v>
      </c>
      <c r="D5" s="1">
        <f>6.8/7</f>
        <v>0.97142857142857142</v>
      </c>
      <c r="E5" s="1">
        <f t="shared" si="0"/>
        <v>0.99142857142857133</v>
      </c>
    </row>
    <row r="6" spans="1:5" x14ac:dyDescent="0.4">
      <c r="A6" t="s">
        <v>11</v>
      </c>
      <c r="B6" t="s">
        <v>12</v>
      </c>
      <c r="C6">
        <v>283749</v>
      </c>
      <c r="D6" s="1">
        <f>6/7</f>
        <v>0.8571428571428571</v>
      </c>
      <c r="E6" s="1">
        <f t="shared" si="0"/>
        <v>0.95714285714285707</v>
      </c>
    </row>
    <row r="7" spans="1:5" x14ac:dyDescent="0.4">
      <c r="A7" t="s">
        <v>13</v>
      </c>
      <c r="B7" t="s">
        <v>14</v>
      </c>
      <c r="C7">
        <v>255295</v>
      </c>
      <c r="D7" s="1">
        <f>7/7</f>
        <v>1</v>
      </c>
      <c r="E7" s="1">
        <f t="shared" si="0"/>
        <v>1</v>
      </c>
    </row>
    <row r="8" spans="1:5" x14ac:dyDescent="0.4">
      <c r="A8" t="s">
        <v>15</v>
      </c>
      <c r="B8" t="s">
        <v>16</v>
      </c>
      <c r="C8">
        <v>286761</v>
      </c>
      <c r="D8" s="1">
        <f>6.9/7</f>
        <v>0.98571428571428577</v>
      </c>
      <c r="E8" s="1">
        <f t="shared" si="0"/>
        <v>0.99571428571428566</v>
      </c>
    </row>
    <row r="9" spans="1:5" x14ac:dyDescent="0.4">
      <c r="A9" t="s">
        <v>17</v>
      </c>
      <c r="B9" t="s">
        <v>18</v>
      </c>
      <c r="C9">
        <v>254049</v>
      </c>
      <c r="D9" s="1">
        <f>7/7</f>
        <v>1</v>
      </c>
      <c r="E9" s="1">
        <f t="shared" si="0"/>
        <v>1</v>
      </c>
    </row>
    <row r="10" spans="1:5" x14ac:dyDescent="0.4">
      <c r="A10" t="s">
        <v>19</v>
      </c>
      <c r="B10" t="s">
        <v>20</v>
      </c>
      <c r="C10">
        <v>285609</v>
      </c>
      <c r="D10" s="1">
        <f>4.8/7</f>
        <v>0.68571428571428572</v>
      </c>
      <c r="E10" s="1">
        <f t="shared" si="0"/>
        <v>0.90571428571428569</v>
      </c>
    </row>
    <row r="11" spans="1:5" x14ac:dyDescent="0.4">
      <c r="A11" t="s">
        <v>21</v>
      </c>
      <c r="B11" t="s">
        <v>22</v>
      </c>
      <c r="C11">
        <v>286945</v>
      </c>
      <c r="D11" s="1">
        <f>4.1/7</f>
        <v>0.58571428571428563</v>
      </c>
      <c r="E11" s="2">
        <f t="shared" si="0"/>
        <v>0.87571428571428567</v>
      </c>
    </row>
    <row r="12" spans="1:5" x14ac:dyDescent="0.4">
      <c r="A12" t="s">
        <v>23</v>
      </c>
      <c r="B12" t="s">
        <v>24</v>
      </c>
      <c r="C12">
        <v>276395</v>
      </c>
      <c r="D12" s="1">
        <f>6/7</f>
        <v>0.8571428571428571</v>
      </c>
      <c r="E12" s="1">
        <f t="shared" si="0"/>
        <v>0.95714285714285707</v>
      </c>
    </row>
    <row r="13" spans="1:5" x14ac:dyDescent="0.4">
      <c r="A13" t="s">
        <v>23</v>
      </c>
      <c r="B13" t="s">
        <v>25</v>
      </c>
      <c r="C13">
        <v>285489</v>
      </c>
      <c r="D13" s="1">
        <f>4/7</f>
        <v>0.5714285714285714</v>
      </c>
      <c r="E13" s="1">
        <f t="shared" si="0"/>
        <v>0.87142857142857133</v>
      </c>
    </row>
    <row r="14" spans="1:5" x14ac:dyDescent="0.4">
      <c r="A14" t="s">
        <v>23</v>
      </c>
      <c r="B14" t="s">
        <v>27</v>
      </c>
      <c r="C14">
        <v>246173</v>
      </c>
      <c r="D14" s="1">
        <f>6.9/7</f>
        <v>0.98571428571428577</v>
      </c>
      <c r="E14" s="1">
        <f t="shared" si="0"/>
        <v>0.99571428571428566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Parcial1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Lince</dc:creator>
  <cp:lastModifiedBy>EDUARDO LINCE GOMEZ</cp:lastModifiedBy>
  <dcterms:created xsi:type="dcterms:W3CDTF">2015-06-05T18:19:34Z</dcterms:created>
  <dcterms:modified xsi:type="dcterms:W3CDTF">2025-11-11T03:17:20Z</dcterms:modified>
</cp:coreProperties>
</file>