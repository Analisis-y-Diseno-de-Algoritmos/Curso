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Universidad_Panamerica\2026-1\Analisis_y_diseño_de_Algoritmos\Curso\"/>
    </mc:Choice>
  </mc:AlternateContent>
  <xr:revisionPtr revIDLastSave="0" documentId="13_ncr:1_{D4B03B16-F682-4505-A0D0-6EA73FC24B24}" xr6:coauthVersionLast="47" xr6:coauthVersionMax="47" xr10:uidLastSave="{00000000-0000-0000-0000-000000000000}"/>
  <bookViews>
    <workbookView xWindow="36540" yWindow="2450" windowWidth="14670" windowHeight="8480" firstSheet="7" activeTab="10" xr2:uid="{00000000-000D-0000-FFFF-FFFF00000000}"/>
  </bookViews>
  <sheets>
    <sheet name="Practica9" sheetId="1" r:id="rId1"/>
    <sheet name="Practica8" sheetId="10" r:id="rId2"/>
    <sheet name="Practica7" sheetId="7" r:id="rId3"/>
    <sheet name="Practica6" sheetId="8" r:id="rId4"/>
    <sheet name="Practica5" sheetId="9" r:id="rId5"/>
    <sheet name="Practica4" sheetId="11" r:id="rId6"/>
    <sheet name="Actividad6" sheetId="2" r:id="rId7"/>
    <sheet name="Actividad5" sheetId="3" r:id="rId8"/>
    <sheet name="Actividad4" sheetId="4" r:id="rId9"/>
    <sheet name="Examen2" sheetId="5" r:id="rId10"/>
    <sheet name="Final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6" l="1"/>
  <c r="N7" i="6"/>
  <c r="I4" i="8"/>
  <c r="I6" i="8"/>
  <c r="I8" i="8"/>
  <c r="I10" i="8"/>
  <c r="I12" i="8"/>
  <c r="I14" i="8"/>
  <c r="I2" i="8"/>
  <c r="K4" i="3"/>
  <c r="K6" i="3"/>
  <c r="K8" i="3"/>
  <c r="K10" i="3"/>
  <c r="K12" i="3"/>
  <c r="K14" i="3"/>
  <c r="K2" i="3"/>
  <c r="N10" i="6"/>
  <c r="N9" i="6"/>
  <c r="N8" i="6"/>
  <c r="G3" i="1"/>
  <c r="G4" i="1"/>
  <c r="G5" i="1"/>
  <c r="G6" i="1"/>
  <c r="G7" i="1"/>
  <c r="G8" i="1"/>
  <c r="G9" i="1"/>
  <c r="G10" i="1"/>
  <c r="G11" i="1"/>
  <c r="G12" i="1"/>
  <c r="G13" i="1"/>
  <c r="G14" i="1"/>
  <c r="G2" i="1"/>
  <c r="N5" i="6"/>
  <c r="N4" i="6"/>
  <c r="N6" i="6"/>
  <c r="N11" i="6"/>
  <c r="N12" i="6"/>
  <c r="N13" i="6"/>
  <c r="N14" i="6"/>
  <c r="J2" i="10"/>
  <c r="J4" i="10"/>
  <c r="J6" i="10"/>
  <c r="J8" i="10"/>
  <c r="J10" i="10"/>
  <c r="J12" i="10"/>
  <c r="J14" i="10"/>
  <c r="H4" i="7"/>
  <c r="H6" i="7"/>
  <c r="H8" i="7"/>
  <c r="H10" i="7"/>
  <c r="H12" i="7"/>
  <c r="H14" i="7"/>
  <c r="H2" i="7"/>
  <c r="G4" i="2"/>
  <c r="G6" i="2"/>
  <c r="G8" i="2"/>
  <c r="G10" i="2"/>
  <c r="G12" i="2"/>
  <c r="G14" i="2"/>
  <c r="G2" i="2"/>
  <c r="I4" i="9"/>
  <c r="I6" i="9"/>
  <c r="I8" i="9"/>
  <c r="I10" i="9"/>
  <c r="I12" i="9"/>
  <c r="I14" i="9"/>
  <c r="I2" i="9"/>
  <c r="K4" i="11"/>
  <c r="K6" i="11"/>
  <c r="K8" i="11"/>
  <c r="K10" i="11"/>
  <c r="K12" i="11"/>
  <c r="K14" i="11"/>
  <c r="K2" i="11"/>
  <c r="J14" i="4"/>
  <c r="J2" i="4"/>
  <c r="J4" i="4"/>
  <c r="J6" i="4"/>
  <c r="J8" i="4"/>
  <c r="J10" i="4"/>
  <c r="J12" i="4"/>
  <c r="N15" i="5"/>
  <c r="N6" i="5"/>
  <c r="N7" i="5"/>
  <c r="N8" i="5"/>
  <c r="N9" i="5"/>
  <c r="N10" i="5"/>
  <c r="N11" i="5"/>
  <c r="N12" i="5"/>
  <c r="N13" i="5"/>
  <c r="N14" i="5"/>
  <c r="N3" i="5"/>
  <c r="N4" i="5"/>
  <c r="N5" i="5"/>
  <c r="N2" i="6" l="1"/>
</calcChain>
</file>

<file path=xl/sharedStrings.xml><?xml version="1.0" encoding="utf-8"?>
<sst xmlns="http://schemas.openxmlformats.org/spreadsheetml/2006/main" count="396" uniqueCount="77">
  <si>
    <t>Apellido</t>
  </si>
  <si>
    <t>Nombre</t>
  </si>
  <si>
    <t>Bolaños Cortés</t>
  </si>
  <si>
    <t>Eguiarte Maldonado</t>
  </si>
  <si>
    <t>Gutiérrez Jiménez</t>
  </si>
  <si>
    <t>Malpica Blackaller</t>
  </si>
  <si>
    <t>Martínez Mendoza</t>
  </si>
  <si>
    <t>Quirós Asprón</t>
  </si>
  <si>
    <t>Ramírez Nieto</t>
  </si>
  <si>
    <t>Sánchez Esparza</t>
  </si>
  <si>
    <t>Solís Ruiz</t>
  </si>
  <si>
    <t>Vargas Alemán</t>
  </si>
  <si>
    <t xml:space="preserve">ID </t>
  </si>
  <si>
    <t>Total</t>
  </si>
  <si>
    <t>Ejercicio1</t>
  </si>
  <si>
    <t>Ejercicio2</t>
  </si>
  <si>
    <t>Ejercicio3</t>
  </si>
  <si>
    <t>Examen</t>
  </si>
  <si>
    <t>Final</t>
  </si>
  <si>
    <t>Ejercicio4</t>
  </si>
  <si>
    <t>Problema 1</t>
  </si>
  <si>
    <t>Ej1</t>
  </si>
  <si>
    <t>Ej2</t>
  </si>
  <si>
    <t>Ej3</t>
  </si>
  <si>
    <t>Ej4</t>
  </si>
  <si>
    <t>Problema 2</t>
  </si>
  <si>
    <t>Problema 3</t>
  </si>
  <si>
    <t>Aristeo Farid</t>
  </si>
  <si>
    <t>Mucito García</t>
  </si>
  <si>
    <t>José Daniel</t>
  </si>
  <si>
    <t>Molina Carrillo</t>
  </si>
  <si>
    <t>Gustavo</t>
  </si>
  <si>
    <t>Torres Tejeda</t>
  </si>
  <si>
    <t>María Fernanda</t>
  </si>
  <si>
    <t>Soria Trejo</t>
  </si>
  <si>
    <t>Jan Alexander</t>
  </si>
  <si>
    <t>Andrade Almonte</t>
  </si>
  <si>
    <t>Arturo</t>
  </si>
  <si>
    <t>Prudencio Bonilla</t>
  </si>
  <si>
    <t>Maximiliano</t>
  </si>
  <si>
    <t>De Ochoa López</t>
  </si>
  <si>
    <t>Leonardo Daniel</t>
  </si>
  <si>
    <t>Arenas Serafín</t>
  </si>
  <si>
    <t>Ricardo Daniel</t>
  </si>
  <si>
    <t>Uribe Guizado</t>
  </si>
  <si>
    <t>José Iván</t>
  </si>
  <si>
    <t>Reyna Blanco</t>
  </si>
  <si>
    <t>Santiago</t>
  </si>
  <si>
    <t>Saldivar Garcini</t>
  </si>
  <si>
    <t>Vázquez Serna</t>
  </si>
  <si>
    <t>SantiagoS</t>
  </si>
  <si>
    <t>SantiagoV</t>
  </si>
  <si>
    <t>SantiagoG</t>
  </si>
  <si>
    <t>Actividad4</t>
  </si>
  <si>
    <t>Actividad5</t>
  </si>
  <si>
    <t>Actividad6</t>
  </si>
  <si>
    <t>Practica4</t>
  </si>
  <si>
    <t>Practica5</t>
  </si>
  <si>
    <t>Practica6</t>
  </si>
  <si>
    <t>Practica7</t>
  </si>
  <si>
    <t>Practica8</t>
  </si>
  <si>
    <t>Practica9</t>
  </si>
  <si>
    <t>Garibay Vega</t>
  </si>
  <si>
    <t>Ejercicio5</t>
  </si>
  <si>
    <t>Ejercicio6</t>
  </si>
  <si>
    <t>Ejercicio7</t>
  </si>
  <si>
    <t>Ejercicio1.1</t>
  </si>
  <si>
    <t>Ejercicio1.2</t>
  </si>
  <si>
    <t>Ejercicio2.1</t>
  </si>
  <si>
    <t>Ejercicio2.2</t>
  </si>
  <si>
    <t>Ejercicio3.1</t>
  </si>
  <si>
    <t>Ejercicio3.2</t>
  </si>
  <si>
    <t>Ejercicio3.3</t>
  </si>
  <si>
    <t>Ejercicio4.1</t>
  </si>
  <si>
    <t>Ejercicio4.2</t>
  </si>
  <si>
    <t>Ejercicio5.1</t>
  </si>
  <si>
    <t>Ejercicio5.2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</si>
</sst>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164" fontId="0" fillId="0" borderId="0" xfId="0" applyNumberFormat="1"/>
    <xf numFmtId="164" fontId="2" fillId="0" borderId="0" xfId="0" applyNumberFormat="1" applyFont="1"/>
    <xf numFmtId="164" fontId="2" fillId="0" borderId="7" xfId="0" applyNumberFormat="1" applyFont="1" applyBorder="1"/>
    <xf numFmtId="2" fontId="0" fillId="0" borderId="7" xfId="0" applyNumberFormat="1" applyBorder="1"/>
    <xf numFmtId="2" fontId="2" fillId="0" borderId="7" xfId="0" applyNumberFormat="1" applyFont="1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G2" sqref="G2:G14"/>
    </sheetView>
  </sheetViews>
  <sheetFormatPr baseColWidth="10" defaultColWidth="9.23046875" defaultRowHeight="14.6" x14ac:dyDescent="0.4"/>
  <cols>
    <col min="1" max="1" width="20.84375" customWidth="1"/>
    <col min="2" max="2" width="17.84375" customWidth="1"/>
  </cols>
  <sheetData>
    <row r="1" spans="1:7" ht="15" thickBot="1" x14ac:dyDescent="0.45">
      <c r="A1" t="s">
        <v>1</v>
      </c>
      <c r="B1" t="s">
        <v>0</v>
      </c>
      <c r="C1" t="s">
        <v>12</v>
      </c>
      <c r="D1" t="s">
        <v>14</v>
      </c>
      <c r="E1" t="s">
        <v>15</v>
      </c>
      <c r="F1" t="s">
        <v>16</v>
      </c>
      <c r="G1" t="s">
        <v>13</v>
      </c>
    </row>
    <row r="2" spans="1:7" x14ac:dyDescent="0.4">
      <c r="A2" s="1" t="s">
        <v>27</v>
      </c>
      <c r="B2" s="2" t="s">
        <v>28</v>
      </c>
      <c r="C2" s="3">
        <v>281528</v>
      </c>
      <c r="D2">
        <v>0.9</v>
      </c>
      <c r="E2">
        <v>0.9</v>
      </c>
      <c r="F2">
        <v>0.9</v>
      </c>
      <c r="G2">
        <f>SUM(D2:F2)/3</f>
        <v>0.9</v>
      </c>
    </row>
    <row r="3" spans="1:7" ht="15" thickBot="1" x14ac:dyDescent="0.45">
      <c r="A3" s="4" t="s">
        <v>29</v>
      </c>
      <c r="B3" s="5" t="s">
        <v>30</v>
      </c>
      <c r="C3" s="6">
        <v>282193</v>
      </c>
      <c r="D3">
        <v>0.8</v>
      </c>
      <c r="E3">
        <v>0.8</v>
      </c>
      <c r="F3">
        <v>0.8</v>
      </c>
      <c r="G3">
        <f t="shared" ref="G3:G14" si="0">SUM(D3:F3)/3</f>
        <v>0.80000000000000016</v>
      </c>
    </row>
    <row r="4" spans="1:7" x14ac:dyDescent="0.4">
      <c r="A4" s="1" t="s">
        <v>31</v>
      </c>
      <c r="B4" s="2" t="s">
        <v>32</v>
      </c>
      <c r="C4" s="3">
        <v>255300</v>
      </c>
      <c r="D4">
        <v>0.9</v>
      </c>
      <c r="E4">
        <v>0.9</v>
      </c>
      <c r="F4">
        <v>0.9</v>
      </c>
      <c r="G4">
        <f t="shared" si="0"/>
        <v>0.9</v>
      </c>
    </row>
    <row r="5" spans="1:7" ht="15" thickBot="1" x14ac:dyDescent="0.45">
      <c r="A5" s="4" t="s">
        <v>33</v>
      </c>
      <c r="B5" s="5" t="s">
        <v>34</v>
      </c>
      <c r="C5" s="6">
        <v>276864</v>
      </c>
      <c r="D5">
        <v>1</v>
      </c>
      <c r="E5">
        <v>1</v>
      </c>
      <c r="F5">
        <v>1</v>
      </c>
      <c r="G5">
        <f t="shared" si="0"/>
        <v>1</v>
      </c>
    </row>
    <row r="6" spans="1:7" x14ac:dyDescent="0.4">
      <c r="A6" s="1" t="s">
        <v>35</v>
      </c>
      <c r="B6" s="2" t="s">
        <v>36</v>
      </c>
      <c r="C6" s="3">
        <v>283749</v>
      </c>
      <c r="D6">
        <v>1</v>
      </c>
      <c r="E6">
        <v>1</v>
      </c>
      <c r="F6">
        <v>1</v>
      </c>
      <c r="G6">
        <f t="shared" si="0"/>
        <v>1</v>
      </c>
    </row>
    <row r="7" spans="1:7" ht="15" thickBot="1" x14ac:dyDescent="0.45">
      <c r="A7" s="4" t="s">
        <v>37</v>
      </c>
      <c r="B7" s="5" t="s">
        <v>38</v>
      </c>
      <c r="C7" s="6">
        <v>255295</v>
      </c>
      <c r="D7">
        <v>0.9</v>
      </c>
      <c r="E7">
        <v>0.9</v>
      </c>
      <c r="F7">
        <v>0.9</v>
      </c>
      <c r="G7">
        <f t="shared" si="0"/>
        <v>0.9</v>
      </c>
    </row>
    <row r="8" spans="1:7" x14ac:dyDescent="0.4">
      <c r="A8" s="1" t="s">
        <v>39</v>
      </c>
      <c r="B8" s="2" t="s">
        <v>40</v>
      </c>
      <c r="C8" s="3">
        <v>286761</v>
      </c>
      <c r="D8">
        <v>0.9</v>
      </c>
      <c r="E8">
        <v>0.9</v>
      </c>
      <c r="F8">
        <v>0.9</v>
      </c>
      <c r="G8">
        <f t="shared" si="0"/>
        <v>0.9</v>
      </c>
    </row>
    <row r="9" spans="1:7" ht="15" thickBot="1" x14ac:dyDescent="0.45">
      <c r="A9" s="4" t="s">
        <v>41</v>
      </c>
      <c r="B9" s="5" t="s">
        <v>42</v>
      </c>
      <c r="C9" s="6">
        <v>254049</v>
      </c>
      <c r="D9">
        <v>1</v>
      </c>
      <c r="E9">
        <v>1</v>
      </c>
      <c r="F9">
        <v>1</v>
      </c>
      <c r="G9">
        <f t="shared" si="0"/>
        <v>1</v>
      </c>
    </row>
    <row r="10" spans="1:7" x14ac:dyDescent="0.4">
      <c r="A10" s="1" t="s">
        <v>43</v>
      </c>
      <c r="B10" s="2" t="s">
        <v>44</v>
      </c>
      <c r="C10" s="3">
        <v>285609</v>
      </c>
      <c r="D10">
        <v>1</v>
      </c>
      <c r="E10">
        <v>1</v>
      </c>
      <c r="F10">
        <v>1</v>
      </c>
      <c r="G10">
        <f t="shared" si="0"/>
        <v>1</v>
      </c>
    </row>
    <row r="11" spans="1:7" ht="15" thickBot="1" x14ac:dyDescent="0.45">
      <c r="A11" s="4" t="s">
        <v>45</v>
      </c>
      <c r="B11" s="5" t="s">
        <v>46</v>
      </c>
      <c r="C11" s="6">
        <v>286945</v>
      </c>
      <c r="D11">
        <v>1</v>
      </c>
      <c r="E11">
        <v>1</v>
      </c>
      <c r="F11">
        <v>0.9</v>
      </c>
      <c r="G11">
        <f t="shared" si="0"/>
        <v>0.96666666666666667</v>
      </c>
    </row>
    <row r="12" spans="1:7" x14ac:dyDescent="0.4">
      <c r="A12" s="1" t="s">
        <v>47</v>
      </c>
      <c r="B12" s="2" t="s">
        <v>48</v>
      </c>
      <c r="C12" s="3">
        <v>276395</v>
      </c>
      <c r="D12">
        <v>1</v>
      </c>
      <c r="E12">
        <v>1</v>
      </c>
      <c r="F12">
        <v>1</v>
      </c>
      <c r="G12">
        <f t="shared" si="0"/>
        <v>1</v>
      </c>
    </row>
    <row r="13" spans="1:7" ht="15" thickBot="1" x14ac:dyDescent="0.45">
      <c r="A13" s="4" t="s">
        <v>47</v>
      </c>
      <c r="B13" s="5" t="s">
        <v>49</v>
      </c>
      <c r="C13" s="6">
        <v>285489</v>
      </c>
      <c r="D13">
        <v>1</v>
      </c>
      <c r="E13">
        <v>1</v>
      </c>
      <c r="F13">
        <v>1</v>
      </c>
      <c r="G13">
        <f t="shared" si="0"/>
        <v>1</v>
      </c>
    </row>
    <row r="14" spans="1:7" ht="15" thickBot="1" x14ac:dyDescent="0.45">
      <c r="A14" s="4" t="s">
        <v>47</v>
      </c>
      <c r="B14" s="5" t="s">
        <v>62</v>
      </c>
      <c r="C14" s="6">
        <v>246173</v>
      </c>
      <c r="D14">
        <v>0.9</v>
      </c>
      <c r="E14">
        <v>0.9</v>
      </c>
      <c r="F14">
        <v>0.9</v>
      </c>
      <c r="G14">
        <f t="shared" si="0"/>
        <v>0.9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41C9-C3F0-4AC5-8DF8-256D82083942}">
  <dimension ref="A1:J15"/>
  <sheetViews>
    <sheetView workbookViewId="0">
      <selection sqref="A1:C15"/>
    </sheetView>
  </sheetViews>
  <sheetFormatPr baseColWidth="10" defaultRowHeight="14.6" x14ac:dyDescent="0.4"/>
  <sheetData>
    <row r="1" spans="1:10" ht="15" thickBot="1" x14ac:dyDescent="0.45">
      <c r="A1" t="s">
        <v>1</v>
      </c>
      <c r="B1" t="s">
        <v>0</v>
      </c>
      <c r="C1" t="s">
        <v>12</v>
      </c>
      <c r="D1" t="s">
        <v>14</v>
      </c>
      <c r="E1" t="s">
        <v>15</v>
      </c>
      <c r="F1" t="s">
        <v>16</v>
      </c>
      <c r="G1" t="s">
        <v>19</v>
      </c>
      <c r="H1" t="s">
        <v>63</v>
      </c>
      <c r="I1" t="s">
        <v>64</v>
      </c>
      <c r="J1" t="s">
        <v>13</v>
      </c>
    </row>
    <row r="2" spans="1:10" x14ac:dyDescent="0.4">
      <c r="A2" s="1" t="s">
        <v>27</v>
      </c>
      <c r="B2" s="2" t="s">
        <v>28</v>
      </c>
      <c r="C2" s="3">
        <v>281528</v>
      </c>
      <c r="D2" s="14">
        <v>0.7</v>
      </c>
      <c r="E2" s="13">
        <v>1</v>
      </c>
      <c r="F2" s="13">
        <v>1</v>
      </c>
      <c r="G2" s="13">
        <v>1</v>
      </c>
      <c r="H2" s="13">
        <v>1</v>
      </c>
      <c r="I2" s="13">
        <v>1</v>
      </c>
      <c r="J2" s="13">
        <f>(SUM(D2:I3))/6</f>
        <v>0.95000000000000007</v>
      </c>
    </row>
    <row r="3" spans="1:10" ht="15" thickBot="1" x14ac:dyDescent="0.45">
      <c r="A3" s="4" t="s">
        <v>29</v>
      </c>
      <c r="B3" s="5" t="s">
        <v>30</v>
      </c>
      <c r="C3" s="6">
        <v>282193</v>
      </c>
      <c r="D3" s="14"/>
      <c r="E3" s="13"/>
      <c r="F3" s="13"/>
      <c r="G3" s="13"/>
      <c r="H3" s="13"/>
      <c r="I3" s="13"/>
      <c r="J3" s="13"/>
    </row>
    <row r="4" spans="1:10" x14ac:dyDescent="0.4">
      <c r="A4" s="1" t="s">
        <v>31</v>
      </c>
      <c r="B4" s="2" t="s">
        <v>32</v>
      </c>
      <c r="C4" s="3">
        <v>255300</v>
      </c>
      <c r="D4" s="14">
        <v>1</v>
      </c>
      <c r="E4" s="13">
        <v>1</v>
      </c>
      <c r="F4" s="13">
        <v>1</v>
      </c>
      <c r="G4" s="13">
        <v>1</v>
      </c>
      <c r="H4" s="13">
        <v>1</v>
      </c>
      <c r="I4" s="13">
        <v>1</v>
      </c>
      <c r="J4" s="13">
        <f>(SUM(D4:I5))/6</f>
        <v>1</v>
      </c>
    </row>
    <row r="5" spans="1:10" ht="15" thickBot="1" x14ac:dyDescent="0.45">
      <c r="A5" s="4" t="s">
        <v>33</v>
      </c>
      <c r="B5" s="5" t="s">
        <v>34</v>
      </c>
      <c r="C5" s="6">
        <v>276864</v>
      </c>
      <c r="D5" s="14"/>
      <c r="E5" s="13"/>
      <c r="F5" s="13"/>
      <c r="G5" s="13"/>
      <c r="H5" s="13"/>
      <c r="I5" s="13"/>
      <c r="J5" s="13"/>
    </row>
    <row r="6" spans="1:10" x14ac:dyDescent="0.4">
      <c r="A6" s="1" t="s">
        <v>35</v>
      </c>
      <c r="B6" s="2" t="s">
        <v>36</v>
      </c>
      <c r="C6" s="3">
        <v>283749</v>
      </c>
      <c r="D6" s="14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f>(SUM(D6:I7))/6</f>
        <v>0</v>
      </c>
    </row>
    <row r="7" spans="1:10" ht="15" thickBot="1" x14ac:dyDescent="0.45">
      <c r="A7" s="4" t="s">
        <v>37</v>
      </c>
      <c r="B7" s="5" t="s">
        <v>38</v>
      </c>
      <c r="C7" s="6">
        <v>255295</v>
      </c>
      <c r="D7" s="14"/>
      <c r="E7" s="13"/>
      <c r="F7" s="13"/>
      <c r="G7" s="13"/>
      <c r="H7" s="13"/>
      <c r="I7" s="13"/>
      <c r="J7" s="13"/>
    </row>
    <row r="8" spans="1:10" x14ac:dyDescent="0.4">
      <c r="A8" s="1" t="s">
        <v>39</v>
      </c>
      <c r="B8" s="2" t="s">
        <v>40</v>
      </c>
      <c r="C8" s="3">
        <v>286761</v>
      </c>
      <c r="D8" s="14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f>(SUM(D8:I9))/6</f>
        <v>1</v>
      </c>
    </row>
    <row r="9" spans="1:10" ht="15" thickBot="1" x14ac:dyDescent="0.45">
      <c r="A9" s="4" t="s">
        <v>41</v>
      </c>
      <c r="B9" s="5" t="s">
        <v>42</v>
      </c>
      <c r="C9" s="6">
        <v>254049</v>
      </c>
      <c r="D9" s="14"/>
      <c r="E9" s="13"/>
      <c r="F9" s="13"/>
      <c r="G9" s="13"/>
      <c r="H9" s="13"/>
      <c r="I9" s="13"/>
      <c r="J9" s="13"/>
    </row>
    <row r="10" spans="1:10" x14ac:dyDescent="0.4">
      <c r="A10" s="1" t="s">
        <v>43</v>
      </c>
      <c r="B10" s="2" t="s">
        <v>44</v>
      </c>
      <c r="C10" s="3">
        <v>285609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f>(SUM(D10:I11))/6</f>
        <v>1</v>
      </c>
    </row>
    <row r="11" spans="1:10" ht="15" thickBot="1" x14ac:dyDescent="0.45">
      <c r="A11" s="4" t="s">
        <v>45</v>
      </c>
      <c r="B11" s="5" t="s">
        <v>46</v>
      </c>
      <c r="C11" s="6">
        <v>286945</v>
      </c>
      <c r="D11" s="13"/>
      <c r="E11" s="13"/>
      <c r="F11" s="13"/>
      <c r="G11" s="13"/>
      <c r="H11" s="13"/>
      <c r="I11" s="13"/>
      <c r="J11" s="13"/>
    </row>
    <row r="12" spans="1:10" x14ac:dyDescent="0.4">
      <c r="A12" s="1" t="s">
        <v>47</v>
      </c>
      <c r="B12" s="2" t="s">
        <v>48</v>
      </c>
      <c r="C12" s="3">
        <v>276395</v>
      </c>
      <c r="D12" s="13">
        <v>1</v>
      </c>
      <c r="E12" s="13">
        <v>1</v>
      </c>
      <c r="F12" s="13">
        <v>0</v>
      </c>
      <c r="G12" s="13">
        <v>0</v>
      </c>
      <c r="H12" s="13">
        <v>0</v>
      </c>
      <c r="I12" s="13">
        <v>0</v>
      </c>
      <c r="J12" s="13">
        <f>(SUM(D12:I13))/6</f>
        <v>0.33333333333333331</v>
      </c>
    </row>
    <row r="13" spans="1:10" ht="15" thickBot="1" x14ac:dyDescent="0.45">
      <c r="A13" s="4" t="s">
        <v>47</v>
      </c>
      <c r="B13" s="5" t="s">
        <v>49</v>
      </c>
      <c r="C13" s="6">
        <v>285489</v>
      </c>
      <c r="D13" s="13"/>
      <c r="E13" s="13"/>
      <c r="F13" s="13"/>
      <c r="G13" s="13"/>
      <c r="H13" s="13"/>
      <c r="I13" s="13"/>
      <c r="J13" s="13"/>
    </row>
    <row r="14" spans="1:10" ht="15" thickBot="1" x14ac:dyDescent="0.45">
      <c r="A14" s="4" t="s">
        <v>47</v>
      </c>
      <c r="B14" s="5" t="s">
        <v>62</v>
      </c>
      <c r="C14" s="6">
        <v>246173</v>
      </c>
      <c r="D14" s="14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f>(SUM(D14:I15))/6</f>
        <v>0</v>
      </c>
    </row>
    <row r="15" spans="1:10" x14ac:dyDescent="0.4">
      <c r="D15" s="14"/>
      <c r="E15" s="13"/>
      <c r="F15" s="13"/>
      <c r="G15" s="13"/>
      <c r="H15" s="13"/>
      <c r="I15" s="13"/>
      <c r="J15" s="13"/>
    </row>
  </sheetData>
  <mergeCells count="49">
    <mergeCell ref="D2:D3"/>
    <mergeCell ref="E2:E3"/>
    <mergeCell ref="F2:F3"/>
    <mergeCell ref="H2:H3"/>
    <mergeCell ref="D4:D5"/>
    <mergeCell ref="E4:E5"/>
    <mergeCell ref="F4:F5"/>
    <mergeCell ref="H4:H5"/>
    <mergeCell ref="H6:H7"/>
    <mergeCell ref="D8:D9"/>
    <mergeCell ref="E8:E9"/>
    <mergeCell ref="F8:F9"/>
    <mergeCell ref="H8:H9"/>
    <mergeCell ref="I2:I3"/>
    <mergeCell ref="J2:J3"/>
    <mergeCell ref="J4:J5"/>
    <mergeCell ref="J6:J7"/>
    <mergeCell ref="D10:D11"/>
    <mergeCell ref="E10:E11"/>
    <mergeCell ref="F10:F11"/>
    <mergeCell ref="H10:H11"/>
    <mergeCell ref="G2:G3"/>
    <mergeCell ref="G4:G5"/>
    <mergeCell ref="G6:G7"/>
    <mergeCell ref="G8:G9"/>
    <mergeCell ref="G10:G11"/>
    <mergeCell ref="D6:D7"/>
    <mergeCell ref="E6:E7"/>
    <mergeCell ref="F6:F7"/>
    <mergeCell ref="D12:D13"/>
    <mergeCell ref="E12:E13"/>
    <mergeCell ref="F12:F13"/>
    <mergeCell ref="G12:G13"/>
    <mergeCell ref="H12:H13"/>
    <mergeCell ref="D14:D15"/>
    <mergeCell ref="E14:E15"/>
    <mergeCell ref="F14:F15"/>
    <mergeCell ref="G14:G15"/>
    <mergeCell ref="H14:H15"/>
    <mergeCell ref="J14:J15"/>
    <mergeCell ref="I6:I7"/>
    <mergeCell ref="I4:I5"/>
    <mergeCell ref="I12:I13"/>
    <mergeCell ref="I10:I11"/>
    <mergeCell ref="I8:I9"/>
    <mergeCell ref="I14:I15"/>
    <mergeCell ref="J8:J9"/>
    <mergeCell ref="J10:J11"/>
    <mergeCell ref="J12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487C-061E-49D1-B383-7CB021B9E5C0}">
  <dimension ref="A1:H15"/>
  <sheetViews>
    <sheetView workbookViewId="0">
      <selection activeCell="H2" sqref="H2:H15"/>
    </sheetView>
  </sheetViews>
  <sheetFormatPr baseColWidth="10" defaultRowHeight="14.6" x14ac:dyDescent="0.4"/>
  <sheetData>
    <row r="1" spans="1:8" ht="15" thickBot="1" x14ac:dyDescent="0.45">
      <c r="A1" t="s">
        <v>1</v>
      </c>
      <c r="B1" t="s">
        <v>0</v>
      </c>
      <c r="C1" t="s">
        <v>12</v>
      </c>
      <c r="D1" t="s">
        <v>66</v>
      </c>
      <c r="E1" t="s">
        <v>67</v>
      </c>
      <c r="F1" t="s">
        <v>68</v>
      </c>
      <c r="G1" t="s">
        <v>69</v>
      </c>
      <c r="H1" t="s">
        <v>13</v>
      </c>
    </row>
    <row r="2" spans="1:8" x14ac:dyDescent="0.4">
      <c r="A2" s="1" t="s">
        <v>27</v>
      </c>
      <c r="B2" s="2" t="s">
        <v>28</v>
      </c>
      <c r="C2" s="3">
        <v>281528</v>
      </c>
      <c r="D2" s="14">
        <v>1</v>
      </c>
      <c r="E2" s="13">
        <v>1</v>
      </c>
      <c r="F2" s="13">
        <v>0</v>
      </c>
      <c r="G2" s="13">
        <v>0</v>
      </c>
      <c r="H2" s="13">
        <f>(SUM(D2:G3))/4</f>
        <v>0.5</v>
      </c>
    </row>
    <row r="3" spans="1:8" ht="15" thickBot="1" x14ac:dyDescent="0.45">
      <c r="A3" s="4" t="s">
        <v>29</v>
      </c>
      <c r="B3" s="5" t="s">
        <v>30</v>
      </c>
      <c r="C3" s="6">
        <v>282193</v>
      </c>
      <c r="D3" s="14"/>
      <c r="E3" s="13"/>
      <c r="F3" s="13"/>
      <c r="G3" s="13"/>
      <c r="H3" s="13"/>
    </row>
    <row r="4" spans="1:8" x14ac:dyDescent="0.4">
      <c r="A4" s="1" t="s">
        <v>31</v>
      </c>
      <c r="B4" s="2" t="s">
        <v>32</v>
      </c>
      <c r="C4" s="3">
        <v>255300</v>
      </c>
      <c r="D4" s="14">
        <v>1</v>
      </c>
      <c r="E4" s="13">
        <v>1</v>
      </c>
      <c r="F4" s="13">
        <v>1</v>
      </c>
      <c r="G4" s="13">
        <v>0.8</v>
      </c>
      <c r="H4" s="13">
        <f t="shared" ref="H4" si="0">(SUM(D4:G5))/4</f>
        <v>0.95</v>
      </c>
    </row>
    <row r="5" spans="1:8" ht="15" thickBot="1" x14ac:dyDescent="0.45">
      <c r="A5" s="4" t="s">
        <v>33</v>
      </c>
      <c r="B5" s="5" t="s">
        <v>34</v>
      </c>
      <c r="C5" s="6">
        <v>276864</v>
      </c>
      <c r="D5" s="14"/>
      <c r="E5" s="13"/>
      <c r="F5" s="13"/>
      <c r="G5" s="13"/>
      <c r="H5" s="13"/>
    </row>
    <row r="6" spans="1:8" x14ac:dyDescent="0.4">
      <c r="A6" s="1" t="s">
        <v>35</v>
      </c>
      <c r="B6" s="2" t="s">
        <v>36</v>
      </c>
      <c r="C6" s="3">
        <v>283749</v>
      </c>
      <c r="D6" s="14">
        <v>0.9</v>
      </c>
      <c r="E6" s="13">
        <v>0.9</v>
      </c>
      <c r="F6" s="13">
        <v>1</v>
      </c>
      <c r="G6" s="13">
        <v>1</v>
      </c>
      <c r="H6" s="13">
        <f t="shared" ref="H6" si="1">(SUM(D6:G7))/4</f>
        <v>0.95</v>
      </c>
    </row>
    <row r="7" spans="1:8" ht="15" thickBot="1" x14ac:dyDescent="0.45">
      <c r="A7" s="4" t="s">
        <v>37</v>
      </c>
      <c r="B7" s="5" t="s">
        <v>38</v>
      </c>
      <c r="C7" s="6">
        <v>255295</v>
      </c>
      <c r="D7" s="14"/>
      <c r="E7" s="13"/>
      <c r="F7" s="13"/>
      <c r="G7" s="13"/>
      <c r="H7" s="13"/>
    </row>
    <row r="8" spans="1:8" x14ac:dyDescent="0.4">
      <c r="A8" s="1" t="s">
        <v>39</v>
      </c>
      <c r="B8" s="2" t="s">
        <v>40</v>
      </c>
      <c r="C8" s="3">
        <v>286761</v>
      </c>
      <c r="D8" s="14">
        <v>1</v>
      </c>
      <c r="E8" s="13">
        <v>1</v>
      </c>
      <c r="F8" s="13">
        <v>1</v>
      </c>
      <c r="G8" s="13">
        <v>1</v>
      </c>
      <c r="H8" s="13">
        <f t="shared" ref="H8" si="2">(SUM(D8:G9))/4</f>
        <v>1</v>
      </c>
    </row>
    <row r="9" spans="1:8" ht="15" thickBot="1" x14ac:dyDescent="0.45">
      <c r="A9" s="4" t="s">
        <v>41</v>
      </c>
      <c r="B9" s="5" t="s">
        <v>42</v>
      </c>
      <c r="C9" s="6">
        <v>254049</v>
      </c>
      <c r="D9" s="14"/>
      <c r="E9" s="13"/>
      <c r="F9" s="13"/>
      <c r="G9" s="13"/>
      <c r="H9" s="13"/>
    </row>
    <row r="10" spans="1:8" x14ac:dyDescent="0.4">
      <c r="A10" s="1" t="s">
        <v>43</v>
      </c>
      <c r="B10" s="2" t="s">
        <v>44</v>
      </c>
      <c r="C10" s="3">
        <v>285609</v>
      </c>
      <c r="D10" s="13">
        <v>1</v>
      </c>
      <c r="E10" s="13">
        <v>0.9</v>
      </c>
      <c r="F10" s="13">
        <v>1</v>
      </c>
      <c r="G10" s="13">
        <v>0.9</v>
      </c>
      <c r="H10" s="13">
        <f t="shared" ref="H10" si="3">(SUM(D10:G11))/4</f>
        <v>0.95</v>
      </c>
    </row>
    <row r="11" spans="1:8" ht="15" thickBot="1" x14ac:dyDescent="0.45">
      <c r="A11" s="4" t="s">
        <v>45</v>
      </c>
      <c r="B11" s="5" t="s">
        <v>46</v>
      </c>
      <c r="C11" s="6">
        <v>286945</v>
      </c>
      <c r="D11" s="13"/>
      <c r="E11" s="13"/>
      <c r="F11" s="13"/>
      <c r="G11" s="13"/>
      <c r="H11" s="13"/>
    </row>
    <row r="12" spans="1:8" x14ac:dyDescent="0.4">
      <c r="A12" s="1" t="s">
        <v>47</v>
      </c>
      <c r="B12" s="2" t="s">
        <v>48</v>
      </c>
      <c r="C12" s="3">
        <v>276395</v>
      </c>
      <c r="D12" s="13">
        <v>0.7</v>
      </c>
      <c r="E12" s="13">
        <v>0.5</v>
      </c>
      <c r="F12" s="13">
        <v>0.7</v>
      </c>
      <c r="G12" s="13">
        <v>0.7</v>
      </c>
      <c r="H12" s="13">
        <f t="shared" ref="H12" si="4">(SUM(D12:G13))/4</f>
        <v>0.64999999999999991</v>
      </c>
    </row>
    <row r="13" spans="1:8" ht="15" thickBot="1" x14ac:dyDescent="0.45">
      <c r="A13" s="4" t="s">
        <v>47</v>
      </c>
      <c r="B13" s="5" t="s">
        <v>49</v>
      </c>
      <c r="C13" s="6">
        <v>285489</v>
      </c>
      <c r="D13" s="13"/>
      <c r="E13" s="13"/>
      <c r="F13" s="13"/>
      <c r="G13" s="13"/>
      <c r="H13" s="13"/>
    </row>
    <row r="14" spans="1:8" ht="15" thickBot="1" x14ac:dyDescent="0.45">
      <c r="A14" s="4" t="s">
        <v>47</v>
      </c>
      <c r="B14" s="5" t="s">
        <v>62</v>
      </c>
      <c r="C14" s="6">
        <v>246173</v>
      </c>
      <c r="D14" s="13">
        <v>0</v>
      </c>
      <c r="E14" s="13">
        <v>0</v>
      </c>
      <c r="F14" s="13">
        <v>0</v>
      </c>
      <c r="G14" s="13">
        <v>0</v>
      </c>
      <c r="H14" s="13">
        <f t="shared" ref="H14" si="5">(SUM(D14:G15))/4</f>
        <v>0</v>
      </c>
    </row>
    <row r="15" spans="1:8" x14ac:dyDescent="0.4">
      <c r="D15" s="13"/>
      <c r="E15" s="13"/>
      <c r="F15" s="13"/>
      <c r="G15" s="13"/>
      <c r="H15" s="13"/>
    </row>
  </sheetData>
  <mergeCells count="35">
    <mergeCell ref="G2:G3"/>
    <mergeCell ref="G4:G5"/>
    <mergeCell ref="E2:E3"/>
    <mergeCell ref="F2:F3"/>
    <mergeCell ref="D4:D5"/>
    <mergeCell ref="E4:E5"/>
    <mergeCell ref="F4:F5"/>
    <mergeCell ref="H2:H3"/>
    <mergeCell ref="H4:H5"/>
    <mergeCell ref="H6:H7"/>
    <mergeCell ref="D10:D11"/>
    <mergeCell ref="E10:E11"/>
    <mergeCell ref="F10:F11"/>
    <mergeCell ref="D6:D7"/>
    <mergeCell ref="E6:E7"/>
    <mergeCell ref="F6:F7"/>
    <mergeCell ref="D8:D9"/>
    <mergeCell ref="E8:E9"/>
    <mergeCell ref="F8:F9"/>
    <mergeCell ref="G6:G7"/>
    <mergeCell ref="G8:G9"/>
    <mergeCell ref="G10:G11"/>
    <mergeCell ref="D2:D3"/>
    <mergeCell ref="H8:H9"/>
    <mergeCell ref="H10:H11"/>
    <mergeCell ref="D12:D13"/>
    <mergeCell ref="E12:E13"/>
    <mergeCell ref="F12:F13"/>
    <mergeCell ref="G12:G13"/>
    <mergeCell ref="H12:H13"/>
    <mergeCell ref="H14:H15"/>
    <mergeCell ref="D14:D15"/>
    <mergeCell ref="E14:E15"/>
    <mergeCell ref="F14:F15"/>
    <mergeCell ref="G14:G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5657-ED14-49F1-8508-FB64B12CAB9C}">
  <dimension ref="A1:I15"/>
  <sheetViews>
    <sheetView workbookViewId="0">
      <selection activeCell="I2" sqref="I2:I15"/>
    </sheetView>
  </sheetViews>
  <sheetFormatPr baseColWidth="10" defaultRowHeight="14.6" x14ac:dyDescent="0.4"/>
  <sheetData>
    <row r="1" spans="1:9" ht="15" thickBot="1" x14ac:dyDescent="0.45">
      <c r="A1" t="s">
        <v>1</v>
      </c>
      <c r="B1" t="s">
        <v>0</v>
      </c>
      <c r="C1" t="s">
        <v>12</v>
      </c>
      <c r="D1" t="s">
        <v>14</v>
      </c>
      <c r="E1" t="s">
        <v>15</v>
      </c>
      <c r="F1" t="s">
        <v>16</v>
      </c>
      <c r="G1" t="s">
        <v>19</v>
      </c>
      <c r="H1" t="s">
        <v>63</v>
      </c>
      <c r="I1" t="s">
        <v>13</v>
      </c>
    </row>
    <row r="2" spans="1:9" x14ac:dyDescent="0.4">
      <c r="A2" s="1" t="s">
        <v>27</v>
      </c>
      <c r="B2" s="2" t="s">
        <v>28</v>
      </c>
      <c r="C2" s="3">
        <v>281528</v>
      </c>
      <c r="D2" s="14">
        <v>0.8</v>
      </c>
      <c r="E2" s="13">
        <v>1</v>
      </c>
      <c r="F2" s="13">
        <v>1</v>
      </c>
      <c r="G2" s="13">
        <v>0</v>
      </c>
      <c r="H2" s="13">
        <v>0</v>
      </c>
      <c r="I2" s="13">
        <f>(SUM(D2:H3))/5</f>
        <v>0.55999999999999994</v>
      </c>
    </row>
    <row r="3" spans="1:9" ht="15" thickBot="1" x14ac:dyDescent="0.45">
      <c r="A3" s="4" t="s">
        <v>29</v>
      </c>
      <c r="B3" s="5" t="s">
        <v>30</v>
      </c>
      <c r="C3" s="6">
        <v>282193</v>
      </c>
      <c r="D3" s="14"/>
      <c r="E3" s="13"/>
      <c r="F3" s="13"/>
      <c r="G3" s="13"/>
      <c r="H3" s="13"/>
      <c r="I3" s="13"/>
    </row>
    <row r="4" spans="1:9" x14ac:dyDescent="0.4">
      <c r="A4" s="1" t="s">
        <v>31</v>
      </c>
      <c r="B4" s="2" t="s">
        <v>32</v>
      </c>
      <c r="C4" s="3">
        <v>255300</v>
      </c>
      <c r="D4" s="14">
        <v>0.8</v>
      </c>
      <c r="E4" s="13">
        <v>1</v>
      </c>
      <c r="F4" s="13">
        <v>1</v>
      </c>
      <c r="G4" s="13">
        <v>1</v>
      </c>
      <c r="H4" s="13">
        <v>1</v>
      </c>
      <c r="I4" s="13">
        <f t="shared" ref="I4" si="0">(SUM(D4:H5))/5</f>
        <v>0.96</v>
      </c>
    </row>
    <row r="5" spans="1:9" ht="15" thickBot="1" x14ac:dyDescent="0.45">
      <c r="A5" s="4" t="s">
        <v>33</v>
      </c>
      <c r="B5" s="5" t="s">
        <v>34</v>
      </c>
      <c r="C5" s="6">
        <v>276864</v>
      </c>
      <c r="D5" s="14"/>
      <c r="E5" s="13"/>
      <c r="F5" s="13"/>
      <c r="G5" s="13"/>
      <c r="H5" s="13"/>
      <c r="I5" s="13"/>
    </row>
    <row r="6" spans="1:9" x14ac:dyDescent="0.4">
      <c r="A6" s="1" t="s">
        <v>35</v>
      </c>
      <c r="B6" s="2" t="s">
        <v>36</v>
      </c>
      <c r="C6" s="3">
        <v>283749</v>
      </c>
      <c r="D6" s="14">
        <v>0</v>
      </c>
      <c r="E6" s="13">
        <v>0</v>
      </c>
      <c r="F6" s="13">
        <v>1</v>
      </c>
      <c r="G6" s="13">
        <v>1</v>
      </c>
      <c r="H6" s="13">
        <v>1</v>
      </c>
      <c r="I6" s="13">
        <f t="shared" ref="I6" si="1">(SUM(D6:H7))/5</f>
        <v>0.6</v>
      </c>
    </row>
    <row r="7" spans="1:9" ht="15" thickBot="1" x14ac:dyDescent="0.45">
      <c r="A7" s="4" t="s">
        <v>37</v>
      </c>
      <c r="B7" s="5" t="s">
        <v>38</v>
      </c>
      <c r="C7" s="6">
        <v>255295</v>
      </c>
      <c r="D7" s="14"/>
      <c r="E7" s="13"/>
      <c r="F7" s="13"/>
      <c r="G7" s="13"/>
      <c r="H7" s="13"/>
      <c r="I7" s="13"/>
    </row>
    <row r="8" spans="1:9" x14ac:dyDescent="0.4">
      <c r="A8" s="1" t="s">
        <v>39</v>
      </c>
      <c r="B8" s="2" t="s">
        <v>40</v>
      </c>
      <c r="C8" s="3">
        <v>286761</v>
      </c>
      <c r="D8" s="14">
        <v>1</v>
      </c>
      <c r="E8" s="13">
        <v>1</v>
      </c>
      <c r="F8" s="13">
        <v>0</v>
      </c>
      <c r="G8" s="13">
        <v>0</v>
      </c>
      <c r="H8" s="13">
        <v>1</v>
      </c>
      <c r="I8" s="13">
        <f t="shared" ref="I8" si="2">(SUM(D8:H9))/5</f>
        <v>0.6</v>
      </c>
    </row>
    <row r="9" spans="1:9" ht="15" thickBot="1" x14ac:dyDescent="0.45">
      <c r="A9" s="4" t="s">
        <v>41</v>
      </c>
      <c r="B9" s="5" t="s">
        <v>42</v>
      </c>
      <c r="C9" s="6">
        <v>254049</v>
      </c>
      <c r="D9" s="14"/>
      <c r="E9" s="13"/>
      <c r="F9" s="13"/>
      <c r="G9" s="13"/>
      <c r="H9" s="13"/>
      <c r="I9" s="13"/>
    </row>
    <row r="10" spans="1:9" x14ac:dyDescent="0.4">
      <c r="A10" s="1" t="s">
        <v>43</v>
      </c>
      <c r="B10" s="2" t="s">
        <v>44</v>
      </c>
      <c r="C10" s="3">
        <v>285609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f t="shared" ref="I10" si="3">(SUM(D10:H11))/5</f>
        <v>1</v>
      </c>
    </row>
    <row r="11" spans="1:9" ht="15" thickBot="1" x14ac:dyDescent="0.45">
      <c r="A11" s="4" t="s">
        <v>45</v>
      </c>
      <c r="B11" s="5" t="s">
        <v>46</v>
      </c>
      <c r="C11" s="6">
        <v>286945</v>
      </c>
      <c r="D11" s="13"/>
      <c r="E11" s="13"/>
      <c r="F11" s="13"/>
      <c r="G11" s="13"/>
      <c r="H11" s="13"/>
      <c r="I11" s="13"/>
    </row>
    <row r="12" spans="1:9" x14ac:dyDescent="0.4">
      <c r="A12" s="1" t="s">
        <v>47</v>
      </c>
      <c r="B12" s="2" t="s">
        <v>48</v>
      </c>
      <c r="C12" s="3">
        <v>276395</v>
      </c>
      <c r="D12" s="13">
        <v>0.8</v>
      </c>
      <c r="E12" s="13">
        <v>0.7</v>
      </c>
      <c r="F12" s="13">
        <v>1</v>
      </c>
      <c r="G12" s="13">
        <v>0</v>
      </c>
      <c r="H12" s="13">
        <v>0</v>
      </c>
      <c r="I12" s="13">
        <f t="shared" ref="I12" si="4">(SUM(D12:H13))/5</f>
        <v>0.5</v>
      </c>
    </row>
    <row r="13" spans="1:9" ht="15" thickBot="1" x14ac:dyDescent="0.45">
      <c r="A13" s="4" t="s">
        <v>47</v>
      </c>
      <c r="B13" s="5" t="s">
        <v>49</v>
      </c>
      <c r="C13" s="6">
        <v>285489</v>
      </c>
      <c r="D13" s="13"/>
      <c r="E13" s="13"/>
      <c r="F13" s="13"/>
      <c r="G13" s="13"/>
      <c r="H13" s="13"/>
      <c r="I13" s="13"/>
    </row>
    <row r="14" spans="1:9" ht="15" thickBot="1" x14ac:dyDescent="0.45">
      <c r="A14" s="4" t="s">
        <v>47</v>
      </c>
      <c r="B14" s="5" t="s">
        <v>62</v>
      </c>
      <c r="C14" s="6">
        <v>246173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f t="shared" ref="I14" si="5">(SUM(D14:H15))/5</f>
        <v>0</v>
      </c>
    </row>
    <row r="15" spans="1:9" x14ac:dyDescent="0.4">
      <c r="D15" s="13"/>
      <c r="E15" s="13"/>
      <c r="F15" s="13"/>
      <c r="G15" s="13"/>
      <c r="H15" s="13"/>
      <c r="I15" s="13"/>
    </row>
  </sheetData>
  <mergeCells count="42">
    <mergeCell ref="D2:D3"/>
    <mergeCell ref="E2:E3"/>
    <mergeCell ref="F2:F3"/>
    <mergeCell ref="G2:G3"/>
    <mergeCell ref="D4:D5"/>
    <mergeCell ref="E4:E5"/>
    <mergeCell ref="F4:F5"/>
    <mergeCell ref="G4:G5"/>
    <mergeCell ref="D6:D7"/>
    <mergeCell ref="E6:E7"/>
    <mergeCell ref="F6:F7"/>
    <mergeCell ref="G6:G7"/>
    <mergeCell ref="D8:D9"/>
    <mergeCell ref="E8:E9"/>
    <mergeCell ref="F8:F9"/>
    <mergeCell ref="G8:G9"/>
    <mergeCell ref="H6:H7"/>
    <mergeCell ref="I6:I7"/>
    <mergeCell ref="H8:H9"/>
    <mergeCell ref="I8:I9"/>
    <mergeCell ref="H2:H3"/>
    <mergeCell ref="I2:I3"/>
    <mergeCell ref="H4:H5"/>
    <mergeCell ref="I4:I5"/>
    <mergeCell ref="H10:H11"/>
    <mergeCell ref="I10:I11"/>
    <mergeCell ref="D12:D13"/>
    <mergeCell ref="E12:E13"/>
    <mergeCell ref="F12:F13"/>
    <mergeCell ref="G12:G13"/>
    <mergeCell ref="H12:H13"/>
    <mergeCell ref="I12:I13"/>
    <mergeCell ref="D10:D11"/>
    <mergeCell ref="E10:E11"/>
    <mergeCell ref="F10:F11"/>
    <mergeCell ref="G10:G11"/>
    <mergeCell ref="I14:I15"/>
    <mergeCell ref="D14:D15"/>
    <mergeCell ref="E14:E15"/>
    <mergeCell ref="F14:F15"/>
    <mergeCell ref="G14:G15"/>
    <mergeCell ref="H14:H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5605-C19F-438D-89DA-C5533131D22C}">
  <dimension ref="A1:I15"/>
  <sheetViews>
    <sheetView workbookViewId="0">
      <selection activeCell="I2" sqref="I2:I15"/>
    </sheetView>
  </sheetViews>
  <sheetFormatPr baseColWidth="10" defaultRowHeight="14.6" x14ac:dyDescent="0.4"/>
  <sheetData>
    <row r="1" spans="1:9" ht="15" thickBot="1" x14ac:dyDescent="0.45">
      <c r="A1" t="s">
        <v>1</v>
      </c>
      <c r="B1" t="s">
        <v>0</v>
      </c>
      <c r="C1" t="s">
        <v>12</v>
      </c>
      <c r="D1" t="s">
        <v>14</v>
      </c>
      <c r="E1" t="s">
        <v>15</v>
      </c>
      <c r="F1" t="s">
        <v>16</v>
      </c>
      <c r="G1" t="s">
        <v>19</v>
      </c>
      <c r="H1" t="s">
        <v>63</v>
      </c>
      <c r="I1" t="s">
        <v>13</v>
      </c>
    </row>
    <row r="2" spans="1:9" x14ac:dyDescent="0.4">
      <c r="A2" s="1" t="s">
        <v>27</v>
      </c>
      <c r="B2" s="2" t="s">
        <v>28</v>
      </c>
      <c r="C2" s="3">
        <v>281528</v>
      </c>
      <c r="D2" s="14">
        <v>0.7</v>
      </c>
      <c r="E2" s="13">
        <v>0.7</v>
      </c>
      <c r="F2" s="13">
        <v>0.7</v>
      </c>
      <c r="G2" s="13">
        <v>0.7</v>
      </c>
      <c r="H2" s="13">
        <v>0.7</v>
      </c>
      <c r="I2" s="13">
        <f>(SUM(D2:H3))/5</f>
        <v>0.7</v>
      </c>
    </row>
    <row r="3" spans="1:9" ht="15" thickBot="1" x14ac:dyDescent="0.45">
      <c r="A3" s="4" t="s">
        <v>29</v>
      </c>
      <c r="B3" s="5" t="s">
        <v>30</v>
      </c>
      <c r="C3" s="6">
        <v>282193</v>
      </c>
      <c r="D3" s="14"/>
      <c r="E3" s="13"/>
      <c r="F3" s="13"/>
      <c r="G3" s="13"/>
      <c r="H3" s="13"/>
      <c r="I3" s="13"/>
    </row>
    <row r="4" spans="1:9" x14ac:dyDescent="0.4">
      <c r="A4" s="1" t="s">
        <v>31</v>
      </c>
      <c r="B4" s="2" t="s">
        <v>32</v>
      </c>
      <c r="C4" s="3">
        <v>255300</v>
      </c>
      <c r="D4" s="14">
        <v>0.6</v>
      </c>
      <c r="E4" s="13">
        <v>0.7</v>
      </c>
      <c r="F4" s="13">
        <v>0.7</v>
      </c>
      <c r="G4" s="13">
        <v>0.7</v>
      </c>
      <c r="H4" s="13">
        <v>0.7</v>
      </c>
      <c r="I4" s="13">
        <f t="shared" ref="I4" si="0">(SUM(D4:H5))/5</f>
        <v>0.67999999999999994</v>
      </c>
    </row>
    <row r="5" spans="1:9" ht="15" thickBot="1" x14ac:dyDescent="0.45">
      <c r="A5" s="4" t="s">
        <v>33</v>
      </c>
      <c r="B5" s="5" t="s">
        <v>34</v>
      </c>
      <c r="C5" s="6">
        <v>276864</v>
      </c>
      <c r="D5" s="14"/>
      <c r="E5" s="13"/>
      <c r="F5" s="13"/>
      <c r="G5" s="13"/>
      <c r="H5" s="13"/>
      <c r="I5" s="13"/>
    </row>
    <row r="6" spans="1:9" x14ac:dyDescent="0.4">
      <c r="A6" s="1" t="s">
        <v>35</v>
      </c>
      <c r="B6" s="2" t="s">
        <v>36</v>
      </c>
      <c r="C6" s="3">
        <v>283749</v>
      </c>
      <c r="D6" s="14">
        <v>1</v>
      </c>
      <c r="E6" s="13">
        <v>0.7</v>
      </c>
      <c r="F6" s="13">
        <v>0.7</v>
      </c>
      <c r="G6" s="13">
        <v>1</v>
      </c>
      <c r="H6" s="13">
        <v>0.7</v>
      </c>
      <c r="I6" s="13">
        <f t="shared" ref="I6" si="1">(SUM(D6:H7))/5</f>
        <v>0.82</v>
      </c>
    </row>
    <row r="7" spans="1:9" ht="15" thickBot="1" x14ac:dyDescent="0.45">
      <c r="A7" s="4" t="s">
        <v>37</v>
      </c>
      <c r="B7" s="5" t="s">
        <v>38</v>
      </c>
      <c r="C7" s="6">
        <v>255295</v>
      </c>
      <c r="D7" s="14"/>
      <c r="E7" s="13"/>
      <c r="F7" s="13"/>
      <c r="G7" s="13"/>
      <c r="H7" s="13"/>
      <c r="I7" s="13"/>
    </row>
    <row r="8" spans="1:9" x14ac:dyDescent="0.4">
      <c r="A8" s="1" t="s">
        <v>39</v>
      </c>
      <c r="B8" s="2" t="s">
        <v>40</v>
      </c>
      <c r="C8" s="3">
        <v>286761</v>
      </c>
      <c r="D8" s="14">
        <v>1</v>
      </c>
      <c r="E8" s="13">
        <v>1</v>
      </c>
      <c r="F8" s="13">
        <v>1</v>
      </c>
      <c r="G8" s="13">
        <v>1</v>
      </c>
      <c r="H8" s="13">
        <v>1</v>
      </c>
      <c r="I8" s="13">
        <f t="shared" ref="I8" si="2">(SUM(D8:H9))/5</f>
        <v>1</v>
      </c>
    </row>
    <row r="9" spans="1:9" ht="15" thickBot="1" x14ac:dyDescent="0.45">
      <c r="A9" s="4" t="s">
        <v>41</v>
      </c>
      <c r="B9" s="5" t="s">
        <v>42</v>
      </c>
      <c r="C9" s="6">
        <v>254049</v>
      </c>
      <c r="D9" s="14"/>
      <c r="E9" s="13"/>
      <c r="F9" s="13"/>
      <c r="G9" s="13"/>
      <c r="H9" s="13"/>
      <c r="I9" s="13"/>
    </row>
    <row r="10" spans="1:9" x14ac:dyDescent="0.4">
      <c r="A10" s="1" t="s">
        <v>43</v>
      </c>
      <c r="B10" s="2" t="s">
        <v>44</v>
      </c>
      <c r="C10" s="3">
        <v>285609</v>
      </c>
      <c r="D10" s="14">
        <v>0.7</v>
      </c>
      <c r="E10" s="13">
        <v>0.8</v>
      </c>
      <c r="F10" s="13">
        <v>0.7</v>
      </c>
      <c r="G10" s="13">
        <v>0.7</v>
      </c>
      <c r="H10" s="13">
        <v>0.7</v>
      </c>
      <c r="I10" s="13">
        <f t="shared" ref="I10" si="3">(SUM(D10:H11))/5</f>
        <v>0.72000000000000008</v>
      </c>
    </row>
    <row r="11" spans="1:9" ht="15" thickBot="1" x14ac:dyDescent="0.45">
      <c r="A11" s="4" t="s">
        <v>45</v>
      </c>
      <c r="B11" s="5" t="s">
        <v>46</v>
      </c>
      <c r="C11" s="6">
        <v>286945</v>
      </c>
      <c r="D11" s="14"/>
      <c r="E11" s="13"/>
      <c r="F11" s="13"/>
      <c r="G11" s="13"/>
      <c r="H11" s="13"/>
      <c r="I11" s="13"/>
    </row>
    <row r="12" spans="1:9" x14ac:dyDescent="0.4">
      <c r="A12" s="1" t="s">
        <v>47</v>
      </c>
      <c r="B12" s="2" t="s">
        <v>48</v>
      </c>
      <c r="C12" s="3">
        <v>276395</v>
      </c>
      <c r="D12" s="14">
        <v>0</v>
      </c>
      <c r="E12" s="13">
        <v>0</v>
      </c>
      <c r="F12" s="13">
        <v>0</v>
      </c>
      <c r="G12" s="13">
        <v>0</v>
      </c>
      <c r="H12" s="13">
        <v>0</v>
      </c>
      <c r="I12" s="13">
        <f t="shared" ref="I12" si="4">(SUM(D12:H13))/5</f>
        <v>0</v>
      </c>
    </row>
    <row r="13" spans="1:9" ht="15" thickBot="1" x14ac:dyDescent="0.45">
      <c r="A13" s="4" t="s">
        <v>47</v>
      </c>
      <c r="B13" s="5" t="s">
        <v>49</v>
      </c>
      <c r="C13" s="6">
        <v>285489</v>
      </c>
      <c r="D13" s="14"/>
      <c r="E13" s="13"/>
      <c r="F13" s="13"/>
      <c r="G13" s="13"/>
      <c r="H13" s="13"/>
      <c r="I13" s="13"/>
    </row>
    <row r="14" spans="1:9" ht="15" thickBot="1" x14ac:dyDescent="0.45">
      <c r="A14" s="4" t="s">
        <v>47</v>
      </c>
      <c r="B14" s="5" t="s">
        <v>62</v>
      </c>
      <c r="C14" s="6">
        <v>246173</v>
      </c>
      <c r="D14" s="14">
        <v>0</v>
      </c>
      <c r="E14" s="13">
        <v>0</v>
      </c>
      <c r="F14" s="13">
        <v>0</v>
      </c>
      <c r="G14" s="13">
        <v>0</v>
      </c>
      <c r="H14" s="13">
        <v>0</v>
      </c>
      <c r="I14" s="13">
        <f t="shared" ref="I14" si="5">(SUM(D14:H15))/5</f>
        <v>0</v>
      </c>
    </row>
    <row r="15" spans="1:9" x14ac:dyDescent="0.4">
      <c r="D15" s="14"/>
      <c r="E15" s="13"/>
      <c r="F15" s="13"/>
      <c r="G15" s="13"/>
      <c r="H15" s="13"/>
      <c r="I15" s="13"/>
    </row>
  </sheetData>
  <mergeCells count="42">
    <mergeCell ref="D2:D3"/>
    <mergeCell ref="E2:E3"/>
    <mergeCell ref="F2:F3"/>
    <mergeCell ref="G2:G3"/>
    <mergeCell ref="D4:D5"/>
    <mergeCell ref="E4:E5"/>
    <mergeCell ref="F4:F5"/>
    <mergeCell ref="G4:G5"/>
    <mergeCell ref="D6:D7"/>
    <mergeCell ref="E6:E7"/>
    <mergeCell ref="F6:F7"/>
    <mergeCell ref="G6:G7"/>
    <mergeCell ref="D8:D9"/>
    <mergeCell ref="E8:E9"/>
    <mergeCell ref="F8:F9"/>
    <mergeCell ref="G8:G9"/>
    <mergeCell ref="H6:H7"/>
    <mergeCell ref="I6:I7"/>
    <mergeCell ref="H8:H9"/>
    <mergeCell ref="I8:I9"/>
    <mergeCell ref="H2:H3"/>
    <mergeCell ref="I2:I3"/>
    <mergeCell ref="H4:H5"/>
    <mergeCell ref="I4:I5"/>
    <mergeCell ref="H10:H11"/>
    <mergeCell ref="I10:I11"/>
    <mergeCell ref="D12:D13"/>
    <mergeCell ref="E12:E13"/>
    <mergeCell ref="F12:F13"/>
    <mergeCell ref="G12:G13"/>
    <mergeCell ref="H12:H13"/>
    <mergeCell ref="I12:I13"/>
    <mergeCell ref="D10:D11"/>
    <mergeCell ref="E10:E11"/>
    <mergeCell ref="F10:F11"/>
    <mergeCell ref="G10:G11"/>
    <mergeCell ref="I14:I15"/>
    <mergeCell ref="D14:D15"/>
    <mergeCell ref="E14:E15"/>
    <mergeCell ref="F14:F15"/>
    <mergeCell ref="G14:G15"/>
    <mergeCell ref="H14:H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45-F50E-4C8E-A7DE-18F34B7E10FE}">
  <dimension ref="A1:K15"/>
  <sheetViews>
    <sheetView workbookViewId="0">
      <selection activeCell="K2" sqref="K2:K3"/>
    </sheetView>
  </sheetViews>
  <sheetFormatPr baseColWidth="10" defaultRowHeight="14.6" x14ac:dyDescent="0.4"/>
  <sheetData>
    <row r="1" spans="1:11" ht="15" thickBot="1" x14ac:dyDescent="0.45">
      <c r="A1" t="s">
        <v>1</v>
      </c>
      <c r="B1" t="s">
        <v>0</v>
      </c>
      <c r="C1" t="s">
        <v>12</v>
      </c>
      <c r="D1" t="s">
        <v>14</v>
      </c>
      <c r="E1" t="s">
        <v>15</v>
      </c>
      <c r="F1" t="s">
        <v>16</v>
      </c>
      <c r="G1" t="s">
        <v>19</v>
      </c>
      <c r="H1" t="s">
        <v>63</v>
      </c>
      <c r="I1" t="s">
        <v>64</v>
      </c>
      <c r="J1" t="s">
        <v>65</v>
      </c>
      <c r="K1" t="s">
        <v>13</v>
      </c>
    </row>
    <row r="2" spans="1:11" x14ac:dyDescent="0.4">
      <c r="A2" s="1" t="s">
        <v>27</v>
      </c>
      <c r="B2" s="2" t="s">
        <v>28</v>
      </c>
      <c r="C2" s="3">
        <v>281528</v>
      </c>
      <c r="D2" s="14">
        <v>0.3</v>
      </c>
      <c r="E2" s="13">
        <v>1</v>
      </c>
      <c r="F2" s="13">
        <v>1</v>
      </c>
      <c r="G2" s="13">
        <v>0.5</v>
      </c>
      <c r="H2" s="13">
        <v>1</v>
      </c>
      <c r="I2" s="13">
        <v>1</v>
      </c>
      <c r="J2" s="13">
        <v>1</v>
      </c>
      <c r="K2" s="13">
        <f>(SUM(D2:J3))/7</f>
        <v>0.82857142857142851</v>
      </c>
    </row>
    <row r="3" spans="1:11" ht="15" thickBot="1" x14ac:dyDescent="0.45">
      <c r="A3" s="4" t="s">
        <v>29</v>
      </c>
      <c r="B3" s="5" t="s">
        <v>30</v>
      </c>
      <c r="C3" s="6">
        <v>282193</v>
      </c>
      <c r="D3" s="14"/>
      <c r="E3" s="13"/>
      <c r="F3" s="13"/>
      <c r="G3" s="13"/>
      <c r="H3" s="13"/>
      <c r="I3" s="13"/>
      <c r="J3" s="13"/>
      <c r="K3" s="13"/>
    </row>
    <row r="4" spans="1:11" x14ac:dyDescent="0.4">
      <c r="A4" s="1" t="s">
        <v>31</v>
      </c>
      <c r="B4" s="2" t="s">
        <v>32</v>
      </c>
      <c r="C4" s="3">
        <v>255300</v>
      </c>
      <c r="D4" s="14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f t="shared" ref="K4" si="0">(SUM(D4:J5))/7</f>
        <v>0</v>
      </c>
    </row>
    <row r="5" spans="1:11" ht="15" thickBot="1" x14ac:dyDescent="0.45">
      <c r="A5" s="4" t="s">
        <v>33</v>
      </c>
      <c r="B5" s="5" t="s">
        <v>34</v>
      </c>
      <c r="C5" s="6">
        <v>276864</v>
      </c>
      <c r="D5" s="14"/>
      <c r="E5" s="13"/>
      <c r="F5" s="13"/>
      <c r="G5" s="13"/>
      <c r="H5" s="13"/>
      <c r="I5" s="13"/>
      <c r="J5" s="13"/>
      <c r="K5" s="13"/>
    </row>
    <row r="6" spans="1:11" x14ac:dyDescent="0.4">
      <c r="A6" s="1" t="s">
        <v>35</v>
      </c>
      <c r="B6" s="2" t="s">
        <v>36</v>
      </c>
      <c r="C6" s="3">
        <v>283749</v>
      </c>
      <c r="D6" s="14">
        <v>1</v>
      </c>
      <c r="E6" s="13">
        <v>1</v>
      </c>
      <c r="F6" s="13">
        <v>1</v>
      </c>
      <c r="G6" s="13">
        <v>0</v>
      </c>
      <c r="H6" s="13">
        <v>1</v>
      </c>
      <c r="I6" s="13">
        <v>0</v>
      </c>
      <c r="J6" s="13">
        <v>0</v>
      </c>
      <c r="K6" s="13">
        <f t="shared" ref="K6" si="1">(SUM(D6:J7))/7</f>
        <v>0.5714285714285714</v>
      </c>
    </row>
    <row r="7" spans="1:11" ht="15" thickBot="1" x14ac:dyDescent="0.45">
      <c r="A7" s="4" t="s">
        <v>37</v>
      </c>
      <c r="B7" s="5" t="s">
        <v>38</v>
      </c>
      <c r="C7" s="6">
        <v>255295</v>
      </c>
      <c r="D7" s="14"/>
      <c r="E7" s="13"/>
      <c r="F7" s="13"/>
      <c r="G7" s="13"/>
      <c r="H7" s="13"/>
      <c r="I7" s="13"/>
      <c r="J7" s="13"/>
      <c r="K7" s="13"/>
    </row>
    <row r="8" spans="1:11" x14ac:dyDescent="0.4">
      <c r="A8" s="1" t="s">
        <v>39</v>
      </c>
      <c r="B8" s="2" t="s">
        <v>40</v>
      </c>
      <c r="C8" s="3">
        <v>286761</v>
      </c>
      <c r="D8" s="14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f t="shared" ref="K8" si="2">(SUM(D8:J9))/7</f>
        <v>1</v>
      </c>
    </row>
    <row r="9" spans="1:11" ht="15" thickBot="1" x14ac:dyDescent="0.45">
      <c r="A9" s="4" t="s">
        <v>41</v>
      </c>
      <c r="B9" s="5" t="s">
        <v>42</v>
      </c>
      <c r="C9" s="6">
        <v>254049</v>
      </c>
      <c r="D9" s="14"/>
      <c r="E9" s="13"/>
      <c r="F9" s="13"/>
      <c r="G9" s="13"/>
      <c r="H9" s="13"/>
      <c r="I9" s="13"/>
      <c r="J9" s="13"/>
      <c r="K9" s="13"/>
    </row>
    <row r="10" spans="1:11" x14ac:dyDescent="0.4">
      <c r="A10" s="1" t="s">
        <v>43</v>
      </c>
      <c r="B10" s="2" t="s">
        <v>44</v>
      </c>
      <c r="C10" s="3">
        <v>285609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f t="shared" ref="K10" si="3">(SUM(D10:J11))/7</f>
        <v>1</v>
      </c>
    </row>
    <row r="11" spans="1:11" ht="15" thickBot="1" x14ac:dyDescent="0.45">
      <c r="A11" s="4" t="s">
        <v>45</v>
      </c>
      <c r="B11" s="5" t="s">
        <v>46</v>
      </c>
      <c r="C11" s="6">
        <v>286945</v>
      </c>
      <c r="D11" s="13"/>
      <c r="E11" s="13"/>
      <c r="F11" s="13"/>
      <c r="G11" s="13"/>
      <c r="H11" s="13"/>
      <c r="I11" s="13"/>
      <c r="J11" s="13"/>
      <c r="K11" s="13"/>
    </row>
    <row r="12" spans="1:11" x14ac:dyDescent="0.4">
      <c r="A12" s="1" t="s">
        <v>47</v>
      </c>
      <c r="B12" s="2" t="s">
        <v>48</v>
      </c>
      <c r="C12" s="3">
        <v>276395</v>
      </c>
      <c r="D12" s="13">
        <v>1</v>
      </c>
      <c r="E12" s="13">
        <v>1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f t="shared" ref="K12" si="4">(SUM(D12:J13))/7</f>
        <v>0.5714285714285714</v>
      </c>
    </row>
    <row r="13" spans="1:11" ht="15" thickBot="1" x14ac:dyDescent="0.45">
      <c r="A13" s="4" t="s">
        <v>47</v>
      </c>
      <c r="B13" s="5" t="s">
        <v>49</v>
      </c>
      <c r="C13" s="6">
        <v>285489</v>
      </c>
      <c r="D13" s="13"/>
      <c r="E13" s="13"/>
      <c r="F13" s="13"/>
      <c r="G13" s="13"/>
      <c r="H13" s="13"/>
      <c r="I13" s="13"/>
      <c r="J13" s="13"/>
      <c r="K13" s="13"/>
    </row>
    <row r="14" spans="1:11" ht="15" thickBot="1" x14ac:dyDescent="0.45">
      <c r="A14" s="4" t="s">
        <v>47</v>
      </c>
      <c r="B14" s="5" t="s">
        <v>62</v>
      </c>
      <c r="C14" s="6">
        <v>246173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f t="shared" ref="K14" si="5">(SUM(D14:J15))/7</f>
        <v>0</v>
      </c>
    </row>
    <row r="15" spans="1:11" x14ac:dyDescent="0.4">
      <c r="D15" s="13"/>
      <c r="E15" s="13"/>
      <c r="F15" s="13"/>
      <c r="G15" s="13"/>
      <c r="H15" s="13"/>
      <c r="I15" s="13"/>
      <c r="J15" s="13"/>
      <c r="K15" s="13"/>
    </row>
  </sheetData>
  <mergeCells count="56">
    <mergeCell ref="I4:I5"/>
    <mergeCell ref="K4:K5"/>
    <mergeCell ref="D2:D3"/>
    <mergeCell ref="E2:E3"/>
    <mergeCell ref="F2:F3"/>
    <mergeCell ref="G2:G3"/>
    <mergeCell ref="H2:H3"/>
    <mergeCell ref="I2:I3"/>
    <mergeCell ref="D4:D5"/>
    <mergeCell ref="E4:E5"/>
    <mergeCell ref="F4:F5"/>
    <mergeCell ref="G4:G5"/>
    <mergeCell ref="H4:H5"/>
    <mergeCell ref="I8:I9"/>
    <mergeCell ref="K8:K9"/>
    <mergeCell ref="D6:D7"/>
    <mergeCell ref="E6:E7"/>
    <mergeCell ref="F6:F7"/>
    <mergeCell ref="G6:G7"/>
    <mergeCell ref="H6:H7"/>
    <mergeCell ref="I6:I7"/>
    <mergeCell ref="D8:D9"/>
    <mergeCell ref="E8:E9"/>
    <mergeCell ref="F8:F9"/>
    <mergeCell ref="G8:G9"/>
    <mergeCell ref="H8:H9"/>
    <mergeCell ref="I14:I15"/>
    <mergeCell ref="K10:K11"/>
    <mergeCell ref="D12:D13"/>
    <mergeCell ref="E12:E13"/>
    <mergeCell ref="F12:F13"/>
    <mergeCell ref="G12:G13"/>
    <mergeCell ref="H12:H13"/>
    <mergeCell ref="I12:I13"/>
    <mergeCell ref="K12:K13"/>
    <mergeCell ref="D10:D11"/>
    <mergeCell ref="E10:E11"/>
    <mergeCell ref="F10:F11"/>
    <mergeCell ref="G10:G11"/>
    <mergeCell ref="H10:H11"/>
    <mergeCell ref="I10:I11"/>
    <mergeCell ref="D14:D15"/>
    <mergeCell ref="E14:E15"/>
    <mergeCell ref="F14:F15"/>
    <mergeCell ref="G14:G15"/>
    <mergeCell ref="H14:H15"/>
    <mergeCell ref="K14:K15"/>
    <mergeCell ref="J2:J3"/>
    <mergeCell ref="J4:J5"/>
    <mergeCell ref="J6:J7"/>
    <mergeCell ref="J8:J9"/>
    <mergeCell ref="J10:J11"/>
    <mergeCell ref="J12:J13"/>
    <mergeCell ref="J14:J15"/>
    <mergeCell ref="K6:K7"/>
    <mergeCell ref="K2:K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3762-8C54-452B-82A3-78B52F4B728B}">
  <dimension ref="A1:G15"/>
  <sheetViews>
    <sheetView workbookViewId="0">
      <selection activeCell="G2" sqref="G2:G15"/>
    </sheetView>
  </sheetViews>
  <sheetFormatPr baseColWidth="10" defaultRowHeight="14.6" x14ac:dyDescent="0.4"/>
  <cols>
    <col min="1" max="1" width="18.69140625" customWidth="1"/>
    <col min="2" max="2" width="19.3046875" customWidth="1"/>
    <col min="3" max="3" width="17.07421875" customWidth="1"/>
  </cols>
  <sheetData>
    <row r="1" spans="1:7" ht="15" thickBot="1" x14ac:dyDescent="0.45">
      <c r="A1" t="s">
        <v>1</v>
      </c>
      <c r="B1" t="s">
        <v>0</v>
      </c>
      <c r="C1" t="s">
        <v>12</v>
      </c>
      <c r="D1" t="s">
        <v>14</v>
      </c>
      <c r="E1" t="s">
        <v>15</v>
      </c>
      <c r="F1" t="s">
        <v>16</v>
      </c>
      <c r="G1" t="s">
        <v>13</v>
      </c>
    </row>
    <row r="2" spans="1:7" x14ac:dyDescent="0.4">
      <c r="A2" s="1" t="s">
        <v>27</v>
      </c>
      <c r="B2" s="2" t="s">
        <v>28</v>
      </c>
      <c r="C2" s="3">
        <v>281528</v>
      </c>
      <c r="D2" s="14">
        <v>0.5</v>
      </c>
      <c r="E2" s="13">
        <v>1</v>
      </c>
      <c r="F2" s="13">
        <v>1</v>
      </c>
      <c r="G2" s="13">
        <f>(SUM(D2:F3))/3</f>
        <v>0.83333333333333337</v>
      </c>
    </row>
    <row r="3" spans="1:7" ht="15" thickBot="1" x14ac:dyDescent="0.45">
      <c r="A3" s="4" t="s">
        <v>29</v>
      </c>
      <c r="B3" s="5" t="s">
        <v>30</v>
      </c>
      <c r="C3" s="6">
        <v>282193</v>
      </c>
      <c r="D3" s="14"/>
      <c r="E3" s="13"/>
      <c r="F3" s="13"/>
      <c r="G3" s="13"/>
    </row>
    <row r="4" spans="1:7" x14ac:dyDescent="0.4">
      <c r="A4" s="1" t="s">
        <v>31</v>
      </c>
      <c r="B4" s="2" t="s">
        <v>32</v>
      </c>
      <c r="C4" s="3">
        <v>255300</v>
      </c>
      <c r="D4" s="14">
        <v>0.5</v>
      </c>
      <c r="E4" s="13">
        <v>0.8</v>
      </c>
      <c r="F4" s="13">
        <v>0.6</v>
      </c>
      <c r="G4" s="13">
        <f t="shared" ref="G4" si="0">(SUM(D4:F5))/3</f>
        <v>0.6333333333333333</v>
      </c>
    </row>
    <row r="5" spans="1:7" ht="15" thickBot="1" x14ac:dyDescent="0.45">
      <c r="A5" s="4" t="s">
        <v>33</v>
      </c>
      <c r="B5" s="5" t="s">
        <v>34</v>
      </c>
      <c r="C5" s="6">
        <v>276864</v>
      </c>
      <c r="D5" s="14"/>
      <c r="E5" s="13"/>
      <c r="F5" s="13"/>
      <c r="G5" s="13"/>
    </row>
    <row r="6" spans="1:7" x14ac:dyDescent="0.4">
      <c r="A6" s="1" t="s">
        <v>35</v>
      </c>
      <c r="B6" s="2" t="s">
        <v>36</v>
      </c>
      <c r="C6" s="3">
        <v>283749</v>
      </c>
      <c r="D6" s="14">
        <v>1</v>
      </c>
      <c r="E6" s="13">
        <v>0.7</v>
      </c>
      <c r="F6" s="13">
        <v>0.7</v>
      </c>
      <c r="G6" s="13">
        <f t="shared" ref="G6" si="1">(SUM(D6:F7))/3</f>
        <v>0.79999999999999993</v>
      </c>
    </row>
    <row r="7" spans="1:7" ht="15" thickBot="1" x14ac:dyDescent="0.45">
      <c r="A7" s="4" t="s">
        <v>37</v>
      </c>
      <c r="B7" s="5" t="s">
        <v>38</v>
      </c>
      <c r="C7" s="6">
        <v>255295</v>
      </c>
      <c r="D7" s="14"/>
      <c r="E7" s="13"/>
      <c r="F7" s="13"/>
      <c r="G7" s="13"/>
    </row>
    <row r="8" spans="1:7" x14ac:dyDescent="0.4">
      <c r="A8" s="1" t="s">
        <v>39</v>
      </c>
      <c r="B8" s="2" t="s">
        <v>40</v>
      </c>
      <c r="C8" s="3">
        <v>286761</v>
      </c>
      <c r="D8" s="14">
        <v>1</v>
      </c>
      <c r="E8" s="13">
        <v>0.8</v>
      </c>
      <c r="F8" s="13">
        <v>1</v>
      </c>
      <c r="G8" s="13">
        <f t="shared" ref="G8" si="2">(SUM(D8:F9))/3</f>
        <v>0.93333333333333324</v>
      </c>
    </row>
    <row r="9" spans="1:7" ht="15" thickBot="1" x14ac:dyDescent="0.45">
      <c r="A9" s="4" t="s">
        <v>41</v>
      </c>
      <c r="B9" s="5" t="s">
        <v>42</v>
      </c>
      <c r="C9" s="6">
        <v>254049</v>
      </c>
      <c r="D9" s="14"/>
      <c r="E9" s="13"/>
      <c r="F9" s="13"/>
      <c r="G9" s="13"/>
    </row>
    <row r="10" spans="1:7" x14ac:dyDescent="0.4">
      <c r="A10" s="1" t="s">
        <v>43</v>
      </c>
      <c r="B10" s="2" t="s">
        <v>44</v>
      </c>
      <c r="C10" s="3">
        <v>285609</v>
      </c>
      <c r="D10" s="13">
        <v>1</v>
      </c>
      <c r="E10" s="13">
        <v>1</v>
      </c>
      <c r="F10" s="13">
        <v>1</v>
      </c>
      <c r="G10" s="13">
        <f t="shared" ref="G10" si="3">(SUM(D10:F11))/3</f>
        <v>1</v>
      </c>
    </row>
    <row r="11" spans="1:7" ht="15" thickBot="1" x14ac:dyDescent="0.45">
      <c r="A11" s="4" t="s">
        <v>45</v>
      </c>
      <c r="B11" s="5" t="s">
        <v>46</v>
      </c>
      <c r="C11" s="6">
        <v>286945</v>
      </c>
      <c r="D11" s="13"/>
      <c r="E11" s="13"/>
      <c r="F11" s="13"/>
      <c r="G11" s="13"/>
    </row>
    <row r="12" spans="1:7" x14ac:dyDescent="0.4">
      <c r="A12" s="1" t="s">
        <v>47</v>
      </c>
      <c r="B12" s="2" t="s">
        <v>48</v>
      </c>
      <c r="C12" s="3">
        <v>276395</v>
      </c>
      <c r="D12" s="13">
        <v>0.7</v>
      </c>
      <c r="E12" s="13">
        <v>0.5</v>
      </c>
      <c r="F12" s="13">
        <v>0</v>
      </c>
      <c r="G12" s="13">
        <f t="shared" ref="G12" si="4">(SUM(D12:F13))/3</f>
        <v>0.39999999999999997</v>
      </c>
    </row>
    <row r="13" spans="1:7" ht="15" thickBot="1" x14ac:dyDescent="0.45">
      <c r="A13" s="4" t="s">
        <v>47</v>
      </c>
      <c r="B13" s="5" t="s">
        <v>49</v>
      </c>
      <c r="C13" s="6">
        <v>285489</v>
      </c>
      <c r="D13" s="13"/>
      <c r="E13" s="13"/>
      <c r="F13" s="13"/>
      <c r="G13" s="13"/>
    </row>
    <row r="14" spans="1:7" ht="15" thickBot="1" x14ac:dyDescent="0.45">
      <c r="A14" s="4" t="s">
        <v>47</v>
      </c>
      <c r="B14" s="5" t="s">
        <v>62</v>
      </c>
      <c r="C14" s="6">
        <v>246173</v>
      </c>
      <c r="D14" s="13">
        <v>0.5</v>
      </c>
      <c r="E14" s="13">
        <v>0</v>
      </c>
      <c r="F14" s="13">
        <v>0</v>
      </c>
      <c r="G14" s="13">
        <f t="shared" ref="G14" si="5">(SUM(D14:F15))/3</f>
        <v>0.16666666666666666</v>
      </c>
    </row>
    <row r="15" spans="1:7" x14ac:dyDescent="0.4">
      <c r="D15" s="13"/>
      <c r="E15" s="13"/>
      <c r="F15" s="13"/>
      <c r="G15" s="13"/>
    </row>
  </sheetData>
  <mergeCells count="28">
    <mergeCell ref="D4:D5"/>
    <mergeCell ref="E4:E5"/>
    <mergeCell ref="F4:F5"/>
    <mergeCell ref="G6:G7"/>
    <mergeCell ref="G8:G9"/>
    <mergeCell ref="G2:G3"/>
    <mergeCell ref="G4:G5"/>
    <mergeCell ref="D10:D11"/>
    <mergeCell ref="E10:E11"/>
    <mergeCell ref="F10:F11"/>
    <mergeCell ref="D6:D7"/>
    <mergeCell ref="E6:E7"/>
    <mergeCell ref="F6:F7"/>
    <mergeCell ref="D8:D9"/>
    <mergeCell ref="E8:E9"/>
    <mergeCell ref="F8:F9"/>
    <mergeCell ref="D2:D3"/>
    <mergeCell ref="E2:E3"/>
    <mergeCell ref="F2:F3"/>
    <mergeCell ref="G14:G15"/>
    <mergeCell ref="D14:D15"/>
    <mergeCell ref="E14:E15"/>
    <mergeCell ref="F14:F15"/>
    <mergeCell ref="G10:G11"/>
    <mergeCell ref="D12:D13"/>
    <mergeCell ref="E12:E13"/>
    <mergeCell ref="F12:F13"/>
    <mergeCell ref="G12:G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DB09-3C61-412A-83BA-EC00599E8532}">
  <dimension ref="A1:K15"/>
  <sheetViews>
    <sheetView workbookViewId="0">
      <selection activeCell="K2" sqref="K2:K15"/>
    </sheetView>
  </sheetViews>
  <sheetFormatPr baseColWidth="10" defaultRowHeight="14.6" x14ac:dyDescent="0.4"/>
  <sheetData>
    <row r="1" spans="1:11" ht="15" thickBot="1" x14ac:dyDescent="0.45">
      <c r="A1" t="s">
        <v>1</v>
      </c>
      <c r="B1" t="s">
        <v>0</v>
      </c>
      <c r="C1" t="s">
        <v>12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13</v>
      </c>
    </row>
    <row r="2" spans="1:11" x14ac:dyDescent="0.4">
      <c r="A2" s="1" t="s">
        <v>27</v>
      </c>
      <c r="B2" s="2" t="s">
        <v>28</v>
      </c>
      <c r="C2" s="3">
        <v>281528</v>
      </c>
      <c r="D2" s="14">
        <v>1</v>
      </c>
      <c r="E2" s="13">
        <v>1</v>
      </c>
      <c r="F2" s="13">
        <v>1</v>
      </c>
      <c r="G2" s="13">
        <v>1</v>
      </c>
      <c r="H2" s="13">
        <v>1</v>
      </c>
      <c r="I2" s="13">
        <v>1</v>
      </c>
      <c r="J2" s="13">
        <v>1</v>
      </c>
      <c r="K2" s="13">
        <f>(SUM(D2:J3))/7</f>
        <v>1</v>
      </c>
    </row>
    <row r="3" spans="1:11" ht="15" thickBot="1" x14ac:dyDescent="0.45">
      <c r="A3" s="4" t="s">
        <v>29</v>
      </c>
      <c r="B3" s="5" t="s">
        <v>30</v>
      </c>
      <c r="C3" s="6">
        <v>282193</v>
      </c>
      <c r="D3" s="14"/>
      <c r="E3" s="13"/>
      <c r="F3" s="13"/>
      <c r="G3" s="13"/>
      <c r="H3" s="13"/>
      <c r="I3" s="13"/>
      <c r="J3" s="13"/>
      <c r="K3" s="13"/>
    </row>
    <row r="4" spans="1:11" x14ac:dyDescent="0.4">
      <c r="A4" s="1" t="s">
        <v>31</v>
      </c>
      <c r="B4" s="2" t="s">
        <v>32</v>
      </c>
      <c r="C4" s="3">
        <v>255300</v>
      </c>
      <c r="D4" s="14">
        <v>1</v>
      </c>
      <c r="E4" s="13">
        <v>1</v>
      </c>
      <c r="F4" s="13">
        <v>1</v>
      </c>
      <c r="G4" s="13">
        <v>1</v>
      </c>
      <c r="H4" s="13">
        <v>1</v>
      </c>
      <c r="I4" s="13">
        <v>1</v>
      </c>
      <c r="J4" s="13">
        <v>1</v>
      </c>
      <c r="K4" s="13">
        <f t="shared" ref="K4" si="0">(SUM(D4:J5))/7</f>
        <v>1</v>
      </c>
    </row>
    <row r="5" spans="1:11" ht="15" thickBot="1" x14ac:dyDescent="0.45">
      <c r="A5" s="4" t="s">
        <v>33</v>
      </c>
      <c r="B5" s="5" t="s">
        <v>34</v>
      </c>
      <c r="C5" s="6">
        <v>276864</v>
      </c>
      <c r="D5" s="14"/>
      <c r="E5" s="13"/>
      <c r="F5" s="13"/>
      <c r="G5" s="13"/>
      <c r="H5" s="13"/>
      <c r="I5" s="13"/>
      <c r="J5" s="13"/>
      <c r="K5" s="13"/>
    </row>
    <row r="6" spans="1:11" x14ac:dyDescent="0.4">
      <c r="A6" s="1" t="s">
        <v>35</v>
      </c>
      <c r="B6" s="2" t="s">
        <v>36</v>
      </c>
      <c r="C6" s="3">
        <v>283749</v>
      </c>
      <c r="D6" s="14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f t="shared" ref="K6" si="1">(SUM(D6:J7))/7</f>
        <v>1</v>
      </c>
    </row>
    <row r="7" spans="1:11" ht="15" thickBot="1" x14ac:dyDescent="0.45">
      <c r="A7" s="4" t="s">
        <v>37</v>
      </c>
      <c r="B7" s="5" t="s">
        <v>38</v>
      </c>
      <c r="C7" s="6">
        <v>255295</v>
      </c>
      <c r="D7" s="14"/>
      <c r="E7" s="13"/>
      <c r="F7" s="13"/>
      <c r="G7" s="13"/>
      <c r="H7" s="13"/>
      <c r="I7" s="13"/>
      <c r="J7" s="13"/>
      <c r="K7" s="13"/>
    </row>
    <row r="8" spans="1:11" x14ac:dyDescent="0.4">
      <c r="A8" s="1" t="s">
        <v>39</v>
      </c>
      <c r="B8" s="2" t="s">
        <v>40</v>
      </c>
      <c r="C8" s="3">
        <v>286761</v>
      </c>
      <c r="D8" s="14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f t="shared" ref="K8" si="2">(SUM(D8:J9))/7</f>
        <v>1</v>
      </c>
    </row>
    <row r="9" spans="1:11" ht="15" thickBot="1" x14ac:dyDescent="0.45">
      <c r="A9" s="4" t="s">
        <v>41</v>
      </c>
      <c r="B9" s="5" t="s">
        <v>42</v>
      </c>
      <c r="C9" s="6">
        <v>254049</v>
      </c>
      <c r="D9" s="14"/>
      <c r="E9" s="13"/>
      <c r="F9" s="13"/>
      <c r="G9" s="13"/>
      <c r="H9" s="13"/>
      <c r="I9" s="13"/>
      <c r="J9" s="13"/>
      <c r="K9" s="13"/>
    </row>
    <row r="10" spans="1:11" x14ac:dyDescent="0.4">
      <c r="A10" s="1" t="s">
        <v>43</v>
      </c>
      <c r="B10" s="2" t="s">
        <v>44</v>
      </c>
      <c r="C10" s="3">
        <v>285609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f t="shared" ref="K10" si="3">(SUM(D10:J11))/7</f>
        <v>1</v>
      </c>
    </row>
    <row r="11" spans="1:11" ht="15" thickBot="1" x14ac:dyDescent="0.45">
      <c r="A11" s="4" t="s">
        <v>45</v>
      </c>
      <c r="B11" s="5" t="s">
        <v>46</v>
      </c>
      <c r="C11" s="6">
        <v>286945</v>
      </c>
      <c r="D11" s="13"/>
      <c r="E11" s="13"/>
      <c r="F11" s="13"/>
      <c r="G11" s="13"/>
      <c r="H11" s="13"/>
      <c r="I11" s="13"/>
      <c r="J11" s="13"/>
      <c r="K11" s="13"/>
    </row>
    <row r="12" spans="1:11" x14ac:dyDescent="0.4">
      <c r="A12" s="1" t="s">
        <v>47</v>
      </c>
      <c r="B12" s="2" t="s">
        <v>48</v>
      </c>
      <c r="C12" s="3">
        <v>276395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f t="shared" ref="K12" si="4">(SUM(D12:J13))/7</f>
        <v>1</v>
      </c>
    </row>
    <row r="13" spans="1:11" ht="15" thickBot="1" x14ac:dyDescent="0.45">
      <c r="A13" s="4" t="s">
        <v>47</v>
      </c>
      <c r="B13" s="5" t="s">
        <v>49</v>
      </c>
      <c r="C13" s="6">
        <v>285489</v>
      </c>
      <c r="D13" s="13"/>
      <c r="E13" s="13"/>
      <c r="F13" s="13"/>
      <c r="G13" s="13"/>
      <c r="H13" s="13"/>
      <c r="I13" s="13"/>
      <c r="J13" s="13"/>
      <c r="K13" s="13"/>
    </row>
    <row r="14" spans="1:11" ht="15" thickBot="1" x14ac:dyDescent="0.45">
      <c r="A14" s="4" t="s">
        <v>47</v>
      </c>
      <c r="B14" s="5" t="s">
        <v>62</v>
      </c>
      <c r="C14" s="6">
        <v>246173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f t="shared" ref="K14" si="5">(SUM(D14:J15))/7</f>
        <v>0</v>
      </c>
    </row>
    <row r="15" spans="1:11" x14ac:dyDescent="0.4">
      <c r="D15" s="13"/>
      <c r="E15" s="13"/>
      <c r="F15" s="13"/>
      <c r="G15" s="13"/>
      <c r="H15" s="13"/>
      <c r="I15" s="13"/>
      <c r="J15" s="13"/>
      <c r="K15" s="13"/>
    </row>
  </sheetData>
  <mergeCells count="56">
    <mergeCell ref="F2:F3"/>
    <mergeCell ref="D4:D5"/>
    <mergeCell ref="E4:E5"/>
    <mergeCell ref="F4:F5"/>
    <mergeCell ref="D10:D11"/>
    <mergeCell ref="E10:E11"/>
    <mergeCell ref="F10:F11"/>
    <mergeCell ref="D6:D7"/>
    <mergeCell ref="E6:E7"/>
    <mergeCell ref="F6:F7"/>
    <mergeCell ref="D8:D9"/>
    <mergeCell ref="E8:E9"/>
    <mergeCell ref="F8:F9"/>
    <mergeCell ref="D2:D3"/>
    <mergeCell ref="E2:E3"/>
    <mergeCell ref="G2:G3"/>
    <mergeCell ref="G4:G5"/>
    <mergeCell ref="G6:G7"/>
    <mergeCell ref="G8:G9"/>
    <mergeCell ref="G10:G11"/>
    <mergeCell ref="H2:H3"/>
    <mergeCell ref="I2:I3"/>
    <mergeCell ref="K2:K3"/>
    <mergeCell ref="H4:H5"/>
    <mergeCell ref="I4:I5"/>
    <mergeCell ref="K4:K5"/>
    <mergeCell ref="H6:H7"/>
    <mergeCell ref="I6:I7"/>
    <mergeCell ref="K6:K7"/>
    <mergeCell ref="H8:H9"/>
    <mergeCell ref="I8:I9"/>
    <mergeCell ref="K8:K9"/>
    <mergeCell ref="H10:H11"/>
    <mergeCell ref="I10:I11"/>
    <mergeCell ref="K10:K11"/>
    <mergeCell ref="D12:D13"/>
    <mergeCell ref="E12:E13"/>
    <mergeCell ref="F12:F13"/>
    <mergeCell ref="G12:G13"/>
    <mergeCell ref="H12:H13"/>
    <mergeCell ref="I12:I13"/>
    <mergeCell ref="K12:K13"/>
    <mergeCell ref="D14:D15"/>
    <mergeCell ref="E14:E15"/>
    <mergeCell ref="F14:F15"/>
    <mergeCell ref="G14:G15"/>
    <mergeCell ref="H14:H15"/>
    <mergeCell ref="I14:I15"/>
    <mergeCell ref="K14:K15"/>
    <mergeCell ref="J2:J3"/>
    <mergeCell ref="J4:J5"/>
    <mergeCell ref="J6:J7"/>
    <mergeCell ref="J8:J9"/>
    <mergeCell ref="J10:J11"/>
    <mergeCell ref="J12:J13"/>
    <mergeCell ref="J14:J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8245-F09D-49B9-B889-B7278D240CDE}">
  <dimension ref="A1:J15"/>
  <sheetViews>
    <sheetView workbookViewId="0">
      <selection sqref="A1:J15"/>
    </sheetView>
  </sheetViews>
  <sheetFormatPr baseColWidth="10" defaultRowHeight="14.6" x14ac:dyDescent="0.4"/>
  <cols>
    <col min="4" max="5" width="8.61328125" customWidth="1"/>
    <col min="6" max="6" width="8.84375" customWidth="1"/>
    <col min="7" max="7" width="8.765625" customWidth="1"/>
    <col min="8" max="8" width="8.84375" customWidth="1"/>
    <col min="9" max="9" width="8.921875" customWidth="1"/>
    <col min="10" max="10" width="6.3046875" customWidth="1"/>
  </cols>
  <sheetData>
    <row r="1" spans="1:10" ht="15" thickBot="1" x14ac:dyDescent="0.45">
      <c r="A1" t="s">
        <v>1</v>
      </c>
      <c r="B1" t="s">
        <v>0</v>
      </c>
      <c r="C1" t="s">
        <v>12</v>
      </c>
      <c r="D1" t="s">
        <v>14</v>
      </c>
      <c r="E1" t="s">
        <v>15</v>
      </c>
      <c r="F1" t="s">
        <v>16</v>
      </c>
      <c r="G1" t="s">
        <v>19</v>
      </c>
      <c r="H1" t="s">
        <v>63</v>
      </c>
      <c r="I1" t="s">
        <v>64</v>
      </c>
      <c r="J1" t="s">
        <v>13</v>
      </c>
    </row>
    <row r="2" spans="1:10" x14ac:dyDescent="0.4">
      <c r="A2" s="1" t="s">
        <v>27</v>
      </c>
      <c r="B2" s="2" t="s">
        <v>28</v>
      </c>
      <c r="C2" s="3">
        <v>281528</v>
      </c>
      <c r="D2" s="14">
        <v>1</v>
      </c>
      <c r="E2" s="13">
        <v>1</v>
      </c>
      <c r="F2" s="13">
        <v>1</v>
      </c>
      <c r="G2" s="13">
        <v>1</v>
      </c>
      <c r="H2" s="13">
        <v>1</v>
      </c>
      <c r="I2" s="13">
        <v>1</v>
      </c>
      <c r="J2" s="13">
        <f>(SUM(D2:I3))/6</f>
        <v>1</v>
      </c>
    </row>
    <row r="3" spans="1:10" ht="15" thickBot="1" x14ac:dyDescent="0.45">
      <c r="A3" s="4" t="s">
        <v>29</v>
      </c>
      <c r="B3" s="5" t="s">
        <v>30</v>
      </c>
      <c r="C3" s="6">
        <v>282193</v>
      </c>
      <c r="D3" s="14"/>
      <c r="E3" s="13"/>
      <c r="F3" s="13"/>
      <c r="G3" s="13"/>
      <c r="H3" s="13"/>
      <c r="I3" s="13"/>
      <c r="J3" s="13"/>
    </row>
    <row r="4" spans="1:10" x14ac:dyDescent="0.4">
      <c r="A4" s="1" t="s">
        <v>31</v>
      </c>
      <c r="B4" s="2" t="s">
        <v>32</v>
      </c>
      <c r="C4" s="3">
        <v>255300</v>
      </c>
      <c r="D4" s="14">
        <v>1</v>
      </c>
      <c r="E4" s="13">
        <v>1</v>
      </c>
      <c r="F4" s="13">
        <v>1</v>
      </c>
      <c r="G4" s="13">
        <v>1</v>
      </c>
      <c r="H4" s="13">
        <v>1</v>
      </c>
      <c r="I4" s="13">
        <v>1</v>
      </c>
      <c r="J4" s="13">
        <f t="shared" ref="J4" si="0">(SUM(D4:I5))/6</f>
        <v>1</v>
      </c>
    </row>
    <row r="5" spans="1:10" ht="15" thickBot="1" x14ac:dyDescent="0.45">
      <c r="A5" s="4" t="s">
        <v>33</v>
      </c>
      <c r="B5" s="5" t="s">
        <v>34</v>
      </c>
      <c r="C5" s="6">
        <v>276864</v>
      </c>
      <c r="D5" s="14"/>
      <c r="E5" s="13"/>
      <c r="F5" s="13"/>
      <c r="G5" s="13"/>
      <c r="H5" s="13"/>
      <c r="I5" s="13"/>
      <c r="J5" s="13"/>
    </row>
    <row r="6" spans="1:10" x14ac:dyDescent="0.4">
      <c r="A6" s="1" t="s">
        <v>35</v>
      </c>
      <c r="B6" s="2" t="s">
        <v>36</v>
      </c>
      <c r="C6" s="3">
        <v>283749</v>
      </c>
      <c r="D6" s="14">
        <v>0</v>
      </c>
      <c r="E6" s="13">
        <v>0</v>
      </c>
      <c r="F6" s="13">
        <v>0</v>
      </c>
      <c r="G6" s="13">
        <v>1</v>
      </c>
      <c r="H6" s="13">
        <v>1</v>
      </c>
      <c r="I6" s="13">
        <v>1</v>
      </c>
      <c r="J6" s="13">
        <f t="shared" ref="J6" si="1">(SUM(D6:I7))/6</f>
        <v>0.5</v>
      </c>
    </row>
    <row r="7" spans="1:10" ht="15" thickBot="1" x14ac:dyDescent="0.45">
      <c r="A7" s="4" t="s">
        <v>37</v>
      </c>
      <c r="B7" s="5" t="s">
        <v>38</v>
      </c>
      <c r="C7" s="6">
        <v>255295</v>
      </c>
      <c r="D7" s="14"/>
      <c r="E7" s="13"/>
      <c r="F7" s="13"/>
      <c r="G7" s="13"/>
      <c r="H7" s="13"/>
      <c r="I7" s="13"/>
      <c r="J7" s="13"/>
    </row>
    <row r="8" spans="1:10" x14ac:dyDescent="0.4">
      <c r="A8" s="1" t="s">
        <v>39</v>
      </c>
      <c r="B8" s="2" t="s">
        <v>40</v>
      </c>
      <c r="C8" s="3">
        <v>286761</v>
      </c>
      <c r="D8" s="14">
        <v>1</v>
      </c>
      <c r="E8" s="13">
        <v>1</v>
      </c>
      <c r="F8" s="13">
        <v>1</v>
      </c>
      <c r="G8" s="13">
        <v>1</v>
      </c>
      <c r="H8" s="13">
        <v>1</v>
      </c>
      <c r="I8" s="13">
        <v>0</v>
      </c>
      <c r="J8" s="13">
        <f t="shared" ref="J8" si="2">(SUM(D8:I9))/6</f>
        <v>0.83333333333333337</v>
      </c>
    </row>
    <row r="9" spans="1:10" ht="15" thickBot="1" x14ac:dyDescent="0.45">
      <c r="A9" s="4" t="s">
        <v>41</v>
      </c>
      <c r="B9" s="5" t="s">
        <v>42</v>
      </c>
      <c r="C9" s="6">
        <v>254049</v>
      </c>
      <c r="D9" s="14"/>
      <c r="E9" s="13"/>
      <c r="F9" s="13"/>
      <c r="G9" s="13"/>
      <c r="H9" s="13"/>
      <c r="I9" s="13"/>
      <c r="J9" s="13"/>
    </row>
    <row r="10" spans="1:10" x14ac:dyDescent="0.4">
      <c r="A10" s="1" t="s">
        <v>43</v>
      </c>
      <c r="B10" s="2" t="s">
        <v>44</v>
      </c>
      <c r="C10" s="3">
        <v>285609</v>
      </c>
      <c r="D10" s="13">
        <v>0.5</v>
      </c>
      <c r="E10" s="13">
        <v>0.5</v>
      </c>
      <c r="F10" s="13">
        <v>1</v>
      </c>
      <c r="G10" s="13">
        <v>1</v>
      </c>
      <c r="H10" s="13">
        <v>1</v>
      </c>
      <c r="I10" s="13">
        <v>1</v>
      </c>
      <c r="J10" s="13">
        <f t="shared" ref="J10" si="3">(SUM(D10:I11))/6</f>
        <v>0.83333333333333337</v>
      </c>
    </row>
    <row r="11" spans="1:10" ht="15" thickBot="1" x14ac:dyDescent="0.45">
      <c r="A11" s="4" t="s">
        <v>45</v>
      </c>
      <c r="B11" s="5" t="s">
        <v>46</v>
      </c>
      <c r="C11" s="6">
        <v>286945</v>
      </c>
      <c r="D11" s="13"/>
      <c r="E11" s="13"/>
      <c r="F11" s="13"/>
      <c r="G11" s="13"/>
      <c r="H11" s="13"/>
      <c r="I11" s="13"/>
      <c r="J11" s="13"/>
    </row>
    <row r="12" spans="1:10" x14ac:dyDescent="0.4">
      <c r="A12" s="1" t="s">
        <v>47</v>
      </c>
      <c r="B12" s="2" t="s">
        <v>48</v>
      </c>
      <c r="C12" s="3">
        <v>276395</v>
      </c>
      <c r="D12" s="13">
        <v>1</v>
      </c>
      <c r="E12" s="13">
        <v>0</v>
      </c>
      <c r="F12" s="13">
        <v>0.2</v>
      </c>
      <c r="G12" s="13">
        <v>1</v>
      </c>
      <c r="H12" s="13">
        <v>1</v>
      </c>
      <c r="I12" s="13">
        <v>0</v>
      </c>
      <c r="J12" s="13">
        <f t="shared" ref="J12:J14" si="4">(SUM(D12:I13))/6</f>
        <v>0.53333333333333333</v>
      </c>
    </row>
    <row r="13" spans="1:10" ht="15" thickBot="1" x14ac:dyDescent="0.45">
      <c r="A13" s="4" t="s">
        <v>47</v>
      </c>
      <c r="B13" s="5" t="s">
        <v>49</v>
      </c>
      <c r="C13" s="6">
        <v>285489</v>
      </c>
      <c r="D13" s="13"/>
      <c r="E13" s="13"/>
      <c r="F13" s="13"/>
      <c r="G13" s="13"/>
      <c r="H13" s="13"/>
      <c r="I13" s="13"/>
      <c r="J13" s="13"/>
    </row>
    <row r="14" spans="1:10" ht="15" thickBot="1" x14ac:dyDescent="0.45">
      <c r="A14" s="4" t="s">
        <v>47</v>
      </c>
      <c r="B14" s="5" t="s">
        <v>62</v>
      </c>
      <c r="C14" s="6">
        <v>246173</v>
      </c>
      <c r="D14" s="13">
        <v>1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f t="shared" si="4"/>
        <v>0.16666666666666666</v>
      </c>
    </row>
    <row r="15" spans="1:10" x14ac:dyDescent="0.4">
      <c r="D15" s="13"/>
      <c r="E15" s="13"/>
      <c r="F15" s="13"/>
      <c r="G15" s="13"/>
      <c r="H15" s="13"/>
      <c r="I15" s="13"/>
      <c r="J15" s="13"/>
    </row>
  </sheetData>
  <mergeCells count="49">
    <mergeCell ref="J12:J13"/>
    <mergeCell ref="I12:I13"/>
    <mergeCell ref="D2:D3"/>
    <mergeCell ref="E2:E3"/>
    <mergeCell ref="F2:F3"/>
    <mergeCell ref="G2:G3"/>
    <mergeCell ref="J2:J3"/>
    <mergeCell ref="I2:I3"/>
    <mergeCell ref="D4:D5"/>
    <mergeCell ref="E4:E5"/>
    <mergeCell ref="F4:F5"/>
    <mergeCell ref="G4:G5"/>
    <mergeCell ref="J4:J5"/>
    <mergeCell ref="I4:I5"/>
    <mergeCell ref="D6:D7"/>
    <mergeCell ref="E6:E7"/>
    <mergeCell ref="F6:F7"/>
    <mergeCell ref="G6:G7"/>
    <mergeCell ref="J6:J7"/>
    <mergeCell ref="I6:I7"/>
    <mergeCell ref="J10:J11"/>
    <mergeCell ref="I10:I11"/>
    <mergeCell ref="D8:D9"/>
    <mergeCell ref="E8:E9"/>
    <mergeCell ref="F8:F9"/>
    <mergeCell ref="G8:G9"/>
    <mergeCell ref="J8:J9"/>
    <mergeCell ref="I8:I9"/>
    <mergeCell ref="H12:H13"/>
    <mergeCell ref="D10:D11"/>
    <mergeCell ref="E10:E11"/>
    <mergeCell ref="F10:F11"/>
    <mergeCell ref="G10:G11"/>
    <mergeCell ref="D12:D13"/>
    <mergeCell ref="E12:E13"/>
    <mergeCell ref="F12:F13"/>
    <mergeCell ref="G12:G13"/>
    <mergeCell ref="H2:H3"/>
    <mergeCell ref="H4:H5"/>
    <mergeCell ref="H6:H7"/>
    <mergeCell ref="H8:H9"/>
    <mergeCell ref="H10:H11"/>
    <mergeCell ref="J14:J15"/>
    <mergeCell ref="D14:D15"/>
    <mergeCell ref="E14:E15"/>
    <mergeCell ref="F14:F15"/>
    <mergeCell ref="G14:G15"/>
    <mergeCell ref="I14:I15"/>
    <mergeCell ref="H14:H15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8896-79FA-4EBE-801F-D60CAFBCD9FC}">
  <dimension ref="A1:N15"/>
  <sheetViews>
    <sheetView topLeftCell="B1" zoomScale="110" zoomScaleNormal="110" workbookViewId="0">
      <pane xSplit="1" ySplit="2" topLeftCell="C3" activePane="bottomRight" state="frozen"/>
      <selection activeCell="B1" sqref="B1"/>
      <selection pane="topRight" activeCell="C1" sqref="C1"/>
      <selection pane="bottomLeft" activeCell="B3" sqref="B3"/>
      <selection pane="bottomRight" activeCell="B15" sqref="B15:C15"/>
    </sheetView>
  </sheetViews>
  <sheetFormatPr baseColWidth="10" defaultRowHeight="14.6" x14ac:dyDescent="0.4"/>
  <cols>
    <col min="1" max="1" width="8.84375" customWidth="1"/>
    <col min="2" max="2" width="9.07421875" customWidth="1"/>
    <col min="3" max="3" width="6.84375" customWidth="1"/>
    <col min="4" max="4" width="4.07421875" customWidth="1"/>
    <col min="5" max="5" width="3.765625" customWidth="1"/>
    <col min="6" max="6" width="3.84375" customWidth="1"/>
    <col min="7" max="7" width="4" customWidth="1"/>
    <col min="8" max="8" width="4.07421875" customWidth="1"/>
    <col min="9" max="9" width="3.765625" customWidth="1"/>
    <col min="10" max="10" width="3.84375" customWidth="1"/>
    <col min="11" max="11" width="4.07421875" customWidth="1"/>
    <col min="12" max="12" width="3.765625" customWidth="1"/>
    <col min="13" max="13" width="3.84375" customWidth="1"/>
    <col min="14" max="14" width="6" customWidth="1"/>
  </cols>
  <sheetData>
    <row r="1" spans="1:14" x14ac:dyDescent="0.4">
      <c r="D1" s="13" t="s">
        <v>20</v>
      </c>
      <c r="E1" s="13"/>
      <c r="F1" s="13"/>
      <c r="G1" s="13"/>
      <c r="H1" s="13" t="s">
        <v>25</v>
      </c>
      <c r="I1" s="13"/>
      <c r="J1" s="13"/>
      <c r="K1" s="13" t="s">
        <v>26</v>
      </c>
      <c r="L1" s="13"/>
      <c r="M1" s="13"/>
    </row>
    <row r="2" spans="1:14" ht="15" thickBot="1" x14ac:dyDescent="0.45">
      <c r="A2" t="s">
        <v>0</v>
      </c>
      <c r="B2" t="s">
        <v>1</v>
      </c>
      <c r="C2" t="s">
        <v>12</v>
      </c>
      <c r="D2" t="s">
        <v>21</v>
      </c>
      <c r="E2" t="s">
        <v>22</v>
      </c>
      <c r="F2" t="s">
        <v>23</v>
      </c>
      <c r="G2" t="s">
        <v>24</v>
      </c>
      <c r="H2" t="s">
        <v>21</v>
      </c>
      <c r="I2" t="s">
        <v>22</v>
      </c>
      <c r="J2" t="s">
        <v>23</v>
      </c>
      <c r="K2" t="s">
        <v>21</v>
      </c>
      <c r="L2" t="s">
        <v>22</v>
      </c>
      <c r="M2" t="s">
        <v>23</v>
      </c>
      <c r="N2" t="s">
        <v>13</v>
      </c>
    </row>
    <row r="3" spans="1:14" x14ac:dyDescent="0.4">
      <c r="A3" s="1" t="s">
        <v>11</v>
      </c>
      <c r="B3" s="1" t="s">
        <v>27</v>
      </c>
      <c r="C3" s="3">
        <v>281528</v>
      </c>
      <c r="D3" s="10">
        <v>1</v>
      </c>
      <c r="E3" s="8">
        <v>1</v>
      </c>
      <c r="F3" s="8">
        <v>1</v>
      </c>
      <c r="G3" s="8">
        <v>1</v>
      </c>
      <c r="H3" s="7">
        <v>1</v>
      </c>
      <c r="I3" s="8">
        <v>1</v>
      </c>
      <c r="J3" s="8">
        <v>1</v>
      </c>
      <c r="K3" s="7">
        <v>0.5</v>
      </c>
      <c r="L3" s="8">
        <v>0.5</v>
      </c>
      <c r="M3" s="8">
        <v>0.5</v>
      </c>
      <c r="N3" s="11">
        <f t="shared" ref="N3:N4" si="0">((SUM(D3:G3)/4)+(SUM(H3:J3)/3)+SUM(K3:M3)/3)/3</f>
        <v>0.83333333333333337</v>
      </c>
    </row>
    <row r="4" spans="1:14" ht="15" thickBot="1" x14ac:dyDescent="0.45">
      <c r="A4" s="4" t="s">
        <v>9</v>
      </c>
      <c r="B4" s="4" t="s">
        <v>29</v>
      </c>
      <c r="C4" s="6">
        <v>282193</v>
      </c>
      <c r="D4" s="10">
        <v>1</v>
      </c>
      <c r="E4" s="8">
        <v>0.6</v>
      </c>
      <c r="F4" s="8">
        <v>0.6</v>
      </c>
      <c r="G4" s="8">
        <v>0</v>
      </c>
      <c r="H4" s="7">
        <v>1</v>
      </c>
      <c r="I4" s="8">
        <v>1</v>
      </c>
      <c r="J4" s="8">
        <v>1</v>
      </c>
      <c r="K4" s="7">
        <v>0.8</v>
      </c>
      <c r="L4" s="8">
        <v>0</v>
      </c>
      <c r="M4" s="8">
        <v>0</v>
      </c>
      <c r="N4" s="11">
        <f t="shared" si="0"/>
        <v>0.60555555555555551</v>
      </c>
    </row>
    <row r="5" spans="1:14" x14ac:dyDescent="0.4">
      <c r="A5" s="1" t="s">
        <v>2</v>
      </c>
      <c r="B5" s="1" t="s">
        <v>31</v>
      </c>
      <c r="C5" s="3">
        <v>255300</v>
      </c>
      <c r="D5" s="7">
        <v>1</v>
      </c>
      <c r="E5" s="8">
        <v>1</v>
      </c>
      <c r="F5" s="9">
        <v>1</v>
      </c>
      <c r="G5" s="8">
        <v>1</v>
      </c>
      <c r="H5" s="7">
        <v>1</v>
      </c>
      <c r="I5" s="8">
        <v>1</v>
      </c>
      <c r="J5" s="8">
        <v>1</v>
      </c>
      <c r="K5" s="7">
        <v>1</v>
      </c>
      <c r="L5" s="8">
        <v>1</v>
      </c>
      <c r="M5" s="8">
        <v>1</v>
      </c>
      <c r="N5" s="11">
        <f>((SUM(D5:G5)/4)+(SUM(H5:J5)/3)+SUM(K5:M5)/3)/3</f>
        <v>1</v>
      </c>
    </row>
    <row r="6" spans="1:14" ht="15" thickBot="1" x14ac:dyDescent="0.45">
      <c r="A6" s="4" t="s">
        <v>4</v>
      </c>
      <c r="B6" s="4" t="s">
        <v>33</v>
      </c>
      <c r="C6" s="6">
        <v>276864</v>
      </c>
      <c r="D6" s="7">
        <v>1</v>
      </c>
      <c r="E6" s="8">
        <v>1</v>
      </c>
      <c r="F6" s="8">
        <v>1</v>
      </c>
      <c r="G6" s="8">
        <v>0.8</v>
      </c>
      <c r="H6" s="7">
        <v>1</v>
      </c>
      <c r="I6" s="8">
        <v>1</v>
      </c>
      <c r="J6" s="8">
        <v>0</v>
      </c>
      <c r="K6" s="7">
        <v>1</v>
      </c>
      <c r="L6" s="8">
        <v>0</v>
      </c>
      <c r="M6" s="8">
        <v>0</v>
      </c>
      <c r="N6" s="11">
        <f t="shared" ref="N6:N15" si="1">((SUM(D6:G6)/4)+(SUM(H6:J6)/3)+SUM(K6:M6)/3)/3</f>
        <v>0.65</v>
      </c>
    </row>
    <row r="7" spans="1:14" x14ac:dyDescent="0.4">
      <c r="A7" s="1" t="s">
        <v>10</v>
      </c>
      <c r="B7" s="1" t="s">
        <v>35</v>
      </c>
      <c r="C7" s="3">
        <v>283749</v>
      </c>
      <c r="D7" s="7">
        <v>1</v>
      </c>
      <c r="E7" s="8">
        <v>1</v>
      </c>
      <c r="F7" s="8">
        <v>1</v>
      </c>
      <c r="G7" s="8">
        <v>0.9</v>
      </c>
      <c r="H7" s="7">
        <v>1</v>
      </c>
      <c r="I7" s="8">
        <v>1</v>
      </c>
      <c r="J7" s="8">
        <v>1</v>
      </c>
      <c r="K7" s="7">
        <v>1</v>
      </c>
      <c r="L7" s="8">
        <v>1</v>
      </c>
      <c r="M7" s="8">
        <v>1</v>
      </c>
      <c r="N7" s="11">
        <f t="shared" si="1"/>
        <v>0.9916666666666667</v>
      </c>
    </row>
    <row r="8" spans="1:14" ht="15" thickBot="1" x14ac:dyDescent="0.45">
      <c r="A8" s="4" t="s">
        <v>6</v>
      </c>
      <c r="B8" s="4" t="s">
        <v>37</v>
      </c>
      <c r="C8" s="6">
        <v>255295</v>
      </c>
      <c r="D8" s="7">
        <v>1</v>
      </c>
      <c r="E8" s="8">
        <v>1</v>
      </c>
      <c r="F8" s="8">
        <v>1</v>
      </c>
      <c r="G8" s="8">
        <v>0.9</v>
      </c>
      <c r="H8" s="7">
        <v>1</v>
      </c>
      <c r="I8" s="8">
        <v>1</v>
      </c>
      <c r="J8" s="8">
        <v>1</v>
      </c>
      <c r="K8" s="7">
        <v>1</v>
      </c>
      <c r="L8" s="8">
        <v>1</v>
      </c>
      <c r="M8" s="8">
        <v>1</v>
      </c>
      <c r="N8" s="11">
        <f t="shared" si="1"/>
        <v>0.9916666666666667</v>
      </c>
    </row>
    <row r="9" spans="1:14" x14ac:dyDescent="0.4">
      <c r="A9" s="1" t="s">
        <v>3</v>
      </c>
      <c r="B9" s="1" t="s">
        <v>39</v>
      </c>
      <c r="C9" s="3">
        <v>286761</v>
      </c>
      <c r="D9" s="7">
        <v>1</v>
      </c>
      <c r="E9" s="8">
        <v>1</v>
      </c>
      <c r="F9" s="8">
        <v>1</v>
      </c>
      <c r="G9" s="9">
        <v>1</v>
      </c>
      <c r="H9" s="7">
        <v>1</v>
      </c>
      <c r="I9" s="8">
        <v>1</v>
      </c>
      <c r="J9" s="8">
        <v>1</v>
      </c>
      <c r="K9" s="7">
        <v>1</v>
      </c>
      <c r="L9" s="8">
        <v>1</v>
      </c>
      <c r="M9" s="8">
        <v>1</v>
      </c>
      <c r="N9" s="11">
        <f t="shared" si="1"/>
        <v>1</v>
      </c>
    </row>
    <row r="10" spans="1:14" ht="15" thickBot="1" x14ac:dyDescent="0.45">
      <c r="A10" s="4" t="s">
        <v>7</v>
      </c>
      <c r="B10" s="4" t="s">
        <v>41</v>
      </c>
      <c r="C10" s="6">
        <v>254049</v>
      </c>
      <c r="D10" s="7">
        <v>1</v>
      </c>
      <c r="E10" s="8">
        <v>1</v>
      </c>
      <c r="F10" s="8">
        <v>1</v>
      </c>
      <c r="G10" s="9">
        <v>1</v>
      </c>
      <c r="H10" s="7">
        <v>1</v>
      </c>
      <c r="I10" s="8">
        <v>1</v>
      </c>
      <c r="J10" s="8">
        <v>1</v>
      </c>
      <c r="K10" s="7">
        <v>1</v>
      </c>
      <c r="L10" s="8">
        <v>0.8</v>
      </c>
      <c r="M10" s="8">
        <v>0.9</v>
      </c>
      <c r="N10" s="11">
        <f t="shared" si="1"/>
        <v>0.96666666666666667</v>
      </c>
    </row>
    <row r="11" spans="1:14" x14ac:dyDescent="0.4">
      <c r="A11" s="1" t="s">
        <v>5</v>
      </c>
      <c r="B11" s="1" t="s">
        <v>43</v>
      </c>
      <c r="C11" s="3">
        <v>285609</v>
      </c>
      <c r="D11" s="7">
        <v>1</v>
      </c>
      <c r="E11" s="8">
        <v>1</v>
      </c>
      <c r="F11" s="8">
        <v>1</v>
      </c>
      <c r="G11" s="8">
        <v>0.9</v>
      </c>
      <c r="H11" s="7">
        <v>1</v>
      </c>
      <c r="I11" s="8">
        <v>1</v>
      </c>
      <c r="J11" s="8">
        <v>1</v>
      </c>
      <c r="K11" s="7">
        <v>1</v>
      </c>
      <c r="L11" s="8">
        <v>1</v>
      </c>
      <c r="M11" s="8">
        <v>1</v>
      </c>
      <c r="N11" s="11">
        <f t="shared" si="1"/>
        <v>0.9916666666666667</v>
      </c>
    </row>
    <row r="12" spans="1:14" ht="15" thickBot="1" x14ac:dyDescent="0.45">
      <c r="A12" s="4" t="s">
        <v>8</v>
      </c>
      <c r="B12" s="4" t="s">
        <v>45</v>
      </c>
      <c r="C12" s="6">
        <v>286945</v>
      </c>
      <c r="D12" s="7">
        <v>1</v>
      </c>
      <c r="E12" s="8">
        <v>1</v>
      </c>
      <c r="F12" s="8">
        <v>1</v>
      </c>
      <c r="G12" s="8">
        <v>1</v>
      </c>
      <c r="H12" s="7">
        <v>1</v>
      </c>
      <c r="I12" s="8">
        <v>1</v>
      </c>
      <c r="J12" s="8">
        <v>1</v>
      </c>
      <c r="K12" s="7">
        <v>0.8</v>
      </c>
      <c r="L12" s="8">
        <v>0.5</v>
      </c>
      <c r="M12" s="8">
        <v>0.8</v>
      </c>
      <c r="N12" s="11">
        <f t="shared" si="1"/>
        <v>0.9</v>
      </c>
    </row>
    <row r="13" spans="1:14" x14ac:dyDescent="0.4">
      <c r="B13" s="1" t="s">
        <v>50</v>
      </c>
      <c r="C13" s="3">
        <v>276395</v>
      </c>
      <c r="D13" s="7">
        <v>1</v>
      </c>
      <c r="E13" s="8">
        <v>1</v>
      </c>
      <c r="F13" s="8">
        <v>1</v>
      </c>
      <c r="G13" s="8">
        <v>1</v>
      </c>
      <c r="H13" s="7">
        <v>1</v>
      </c>
      <c r="I13" s="8">
        <v>1</v>
      </c>
      <c r="J13" s="8">
        <v>1</v>
      </c>
      <c r="K13" s="10">
        <v>1</v>
      </c>
      <c r="L13" s="8">
        <v>1</v>
      </c>
      <c r="M13" s="8">
        <v>1</v>
      </c>
      <c r="N13" s="11">
        <f t="shared" si="1"/>
        <v>1</v>
      </c>
    </row>
    <row r="14" spans="1:14" ht="15" thickBot="1" x14ac:dyDescent="0.45">
      <c r="B14" s="4" t="s">
        <v>51</v>
      </c>
      <c r="C14" s="6">
        <v>285489</v>
      </c>
      <c r="D14" s="7">
        <v>1</v>
      </c>
      <c r="E14" s="8">
        <v>1</v>
      </c>
      <c r="F14" s="8">
        <v>1</v>
      </c>
      <c r="G14" s="8">
        <v>1</v>
      </c>
      <c r="H14" s="7">
        <v>1</v>
      </c>
      <c r="I14" s="8">
        <v>1</v>
      </c>
      <c r="J14" s="8">
        <v>1</v>
      </c>
      <c r="K14" s="7">
        <v>1</v>
      </c>
      <c r="L14" s="8">
        <v>1</v>
      </c>
      <c r="M14" s="8">
        <v>1</v>
      </c>
      <c r="N14" s="11">
        <f t="shared" si="1"/>
        <v>1</v>
      </c>
    </row>
    <row r="15" spans="1:14" ht="15" thickBot="1" x14ac:dyDescent="0.45">
      <c r="B15" s="4" t="s">
        <v>52</v>
      </c>
      <c r="C15">
        <v>246173</v>
      </c>
      <c r="D15" s="7">
        <v>1</v>
      </c>
      <c r="E15" s="8">
        <v>1</v>
      </c>
      <c r="F15" s="8">
        <v>1</v>
      </c>
      <c r="G15" s="8">
        <v>1</v>
      </c>
      <c r="H15" s="7">
        <v>1</v>
      </c>
      <c r="I15" s="8">
        <v>1</v>
      </c>
      <c r="J15" s="8">
        <v>1</v>
      </c>
      <c r="K15" s="7">
        <v>1</v>
      </c>
      <c r="L15" s="8">
        <v>1</v>
      </c>
      <c r="M15" s="8">
        <v>1</v>
      </c>
      <c r="N15" s="12">
        <f t="shared" si="1"/>
        <v>1</v>
      </c>
    </row>
  </sheetData>
  <mergeCells count="3">
    <mergeCell ref="D1:G1"/>
    <mergeCell ref="K1:M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CB54-6D41-4464-A8D6-C426B6965A9D}">
  <dimension ref="A1:N15"/>
  <sheetViews>
    <sheetView tabSelected="1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G2" sqref="G2:G3"/>
    </sheetView>
  </sheetViews>
  <sheetFormatPr baseColWidth="10" defaultRowHeight="14.6" x14ac:dyDescent="0.4"/>
  <cols>
    <col min="4" max="4" width="9" customWidth="1"/>
    <col min="5" max="5" width="9.3828125" customWidth="1"/>
    <col min="6" max="6" width="9.61328125" customWidth="1"/>
    <col min="7" max="7" width="8.15234375" customWidth="1"/>
    <col min="8" max="8" width="7.84375" customWidth="1"/>
    <col min="9" max="10" width="8.53515625" customWidth="1"/>
    <col min="11" max="11" width="8.61328125" customWidth="1"/>
    <col min="12" max="12" width="9" customWidth="1"/>
    <col min="13" max="13" width="7.53515625" customWidth="1"/>
    <col min="14" max="14" width="5.921875" customWidth="1"/>
  </cols>
  <sheetData>
    <row r="1" spans="1:14" ht="15" thickBot="1" x14ac:dyDescent="0.45">
      <c r="A1" t="s">
        <v>1</v>
      </c>
      <c r="B1" t="s">
        <v>0</v>
      </c>
      <c r="C1" t="s">
        <v>12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17</v>
      </c>
      <c r="N1" t="s">
        <v>18</v>
      </c>
    </row>
    <row r="2" spans="1:14" x14ac:dyDescent="0.4">
      <c r="A2" s="1" t="s">
        <v>27</v>
      </c>
      <c r="B2" s="2" t="s">
        <v>28</v>
      </c>
      <c r="C2" s="3">
        <v>281528</v>
      </c>
      <c r="D2" s="13">
        <v>1</v>
      </c>
      <c r="E2" s="13">
        <v>1</v>
      </c>
      <c r="F2" s="13">
        <v>0.83333333333333337</v>
      </c>
      <c r="G2" s="13">
        <v>0.82857142857142851</v>
      </c>
      <c r="H2" s="13">
        <v>0.7</v>
      </c>
      <c r="I2" s="13">
        <v>0.55999999999999994</v>
      </c>
      <c r="J2" s="13">
        <v>0.5</v>
      </c>
      <c r="K2" s="13">
        <v>0.95000000000000007</v>
      </c>
      <c r="L2">
        <v>0.9</v>
      </c>
      <c r="M2" s="11">
        <v>0.83333333333333337</v>
      </c>
      <c r="N2">
        <f>(SUM(D2:K3)+L2)*0.6/9+M2*0.4</f>
        <v>0.81812698412698415</v>
      </c>
    </row>
    <row r="3" spans="1:14" ht="15" thickBot="1" x14ac:dyDescent="0.45">
      <c r="A3" s="4" t="s">
        <v>29</v>
      </c>
      <c r="B3" s="5" t="s">
        <v>30</v>
      </c>
      <c r="C3" s="6">
        <v>282193</v>
      </c>
      <c r="D3" s="13"/>
      <c r="E3" s="13"/>
      <c r="F3" s="13"/>
      <c r="G3" s="13"/>
      <c r="H3" s="13"/>
      <c r="I3" s="13"/>
      <c r="J3" s="13"/>
      <c r="K3" s="13"/>
      <c r="L3">
        <v>0.80000000000000016</v>
      </c>
      <c r="M3" s="11">
        <v>0.60555555555555551</v>
      </c>
      <c r="N3">
        <f>(SUM(D2:K3)+L3)*0.6/9+M3*0.4</f>
        <v>0.72034920634920641</v>
      </c>
    </row>
    <row r="4" spans="1:14" x14ac:dyDescent="0.4">
      <c r="A4" s="1" t="s">
        <v>31</v>
      </c>
      <c r="B4" s="2" t="s">
        <v>32</v>
      </c>
      <c r="C4" s="3">
        <v>255300</v>
      </c>
      <c r="D4" s="13">
        <v>1</v>
      </c>
      <c r="E4" s="13">
        <v>1</v>
      </c>
      <c r="F4" s="13">
        <v>0.6333333333333333</v>
      </c>
      <c r="G4" s="13">
        <v>0</v>
      </c>
      <c r="H4" s="13">
        <v>0.67999999999999994</v>
      </c>
      <c r="I4" s="13">
        <v>0.96</v>
      </c>
      <c r="J4" s="13">
        <v>0.95</v>
      </c>
      <c r="K4" s="13">
        <v>1</v>
      </c>
      <c r="L4">
        <v>0.9</v>
      </c>
      <c r="M4" s="11">
        <v>1</v>
      </c>
      <c r="N4">
        <f>(SUM(D4:K5)+L4)*0.6/9+M4*0.4</f>
        <v>0.87488888888888894</v>
      </c>
    </row>
    <row r="5" spans="1:14" ht="15" thickBot="1" x14ac:dyDescent="0.45">
      <c r="A5" s="4" t="s">
        <v>33</v>
      </c>
      <c r="B5" s="5" t="s">
        <v>34</v>
      </c>
      <c r="C5" s="6">
        <v>276864</v>
      </c>
      <c r="D5" s="13"/>
      <c r="E5" s="13"/>
      <c r="F5" s="13"/>
      <c r="G5" s="13"/>
      <c r="H5" s="13"/>
      <c r="I5" s="13"/>
      <c r="J5" s="13"/>
      <c r="K5" s="13"/>
      <c r="L5">
        <v>1</v>
      </c>
      <c r="M5" s="11">
        <v>0.65</v>
      </c>
      <c r="N5">
        <f>(SUM(D4:K5)+L5)*0.6/9+M5*0.4</f>
        <v>0.74155555555555552</v>
      </c>
    </row>
    <row r="6" spans="1:14" x14ac:dyDescent="0.4">
      <c r="A6" s="1" t="s">
        <v>35</v>
      </c>
      <c r="B6" s="2" t="s">
        <v>36</v>
      </c>
      <c r="C6" s="3">
        <v>283749</v>
      </c>
      <c r="D6" s="13">
        <v>0.5</v>
      </c>
      <c r="E6" s="13">
        <v>1</v>
      </c>
      <c r="F6" s="13">
        <v>0.79999999999999993</v>
      </c>
      <c r="G6" s="13">
        <v>0.5714285714285714</v>
      </c>
      <c r="H6" s="13">
        <v>0.82</v>
      </c>
      <c r="I6" s="13">
        <v>0.6</v>
      </c>
      <c r="J6" s="13">
        <v>0.95</v>
      </c>
      <c r="K6" s="13">
        <v>0</v>
      </c>
      <c r="L6">
        <v>1</v>
      </c>
      <c r="M6" s="11">
        <v>0.9916666666666667</v>
      </c>
      <c r="N6">
        <f t="shared" ref="N6" si="0">(SUM(D6:K7)+L6)*0.6/9+M6*0.4</f>
        <v>0.8127619047619048</v>
      </c>
    </row>
    <row r="7" spans="1:14" ht="15" thickBot="1" x14ac:dyDescent="0.45">
      <c r="A7" s="4" t="s">
        <v>37</v>
      </c>
      <c r="B7" s="5" t="s">
        <v>38</v>
      </c>
      <c r="C7" s="6">
        <v>255295</v>
      </c>
      <c r="D7" s="13"/>
      <c r="E7" s="13"/>
      <c r="F7" s="13"/>
      <c r="G7" s="13"/>
      <c r="H7" s="13"/>
      <c r="I7" s="13"/>
      <c r="J7" s="13"/>
      <c r="K7" s="13"/>
      <c r="L7">
        <v>0.9</v>
      </c>
      <c r="M7" s="11">
        <v>0.9916666666666667</v>
      </c>
      <c r="N7">
        <f t="shared" ref="N7" si="1">(SUM(D6:K7)+L7)*0.6/9+M7*0.4</f>
        <v>0.8060952380952382</v>
      </c>
    </row>
    <row r="8" spans="1:14" x14ac:dyDescent="0.4">
      <c r="A8" s="1" t="s">
        <v>39</v>
      </c>
      <c r="B8" s="2" t="s">
        <v>40</v>
      </c>
      <c r="C8" s="3">
        <v>286761</v>
      </c>
      <c r="D8" s="13">
        <v>0.83333333333333337</v>
      </c>
      <c r="E8" s="13">
        <v>1</v>
      </c>
      <c r="F8" s="13">
        <v>0.93333333333333324</v>
      </c>
      <c r="G8" s="13">
        <v>1</v>
      </c>
      <c r="H8" s="13">
        <v>1</v>
      </c>
      <c r="I8" s="13">
        <v>0.6</v>
      </c>
      <c r="J8" s="13">
        <v>1</v>
      </c>
      <c r="K8" s="13">
        <v>1</v>
      </c>
      <c r="L8">
        <v>0.9</v>
      </c>
      <c r="M8" s="11">
        <v>1</v>
      </c>
      <c r="N8">
        <f t="shared" ref="N8" si="2">(SUM(D8:K9)+L8)*0.6/9+M8*0.4</f>
        <v>0.95111111111111102</v>
      </c>
    </row>
    <row r="9" spans="1:14" ht="15" thickBot="1" x14ac:dyDescent="0.45">
      <c r="A9" s="4" t="s">
        <v>41</v>
      </c>
      <c r="B9" s="5" t="s">
        <v>42</v>
      </c>
      <c r="C9" s="6">
        <v>254049</v>
      </c>
      <c r="D9" s="13"/>
      <c r="E9" s="13"/>
      <c r="F9" s="13"/>
      <c r="G9" s="13"/>
      <c r="H9" s="13"/>
      <c r="I9" s="13"/>
      <c r="J9" s="13"/>
      <c r="K9" s="13"/>
      <c r="L9">
        <v>1</v>
      </c>
      <c r="M9" s="11">
        <v>0.96666666666666667</v>
      </c>
      <c r="N9">
        <f t="shared" ref="N9" si="3">(SUM(D8:K9)+L9)*0.6/9+M9*0.4</f>
        <v>0.94444444444444453</v>
      </c>
    </row>
    <row r="10" spans="1:14" x14ac:dyDescent="0.4">
      <c r="A10" s="1" t="s">
        <v>43</v>
      </c>
      <c r="B10" s="2" t="s">
        <v>44</v>
      </c>
      <c r="C10" s="3">
        <v>285609</v>
      </c>
      <c r="D10" s="13">
        <v>0.83333333333333337</v>
      </c>
      <c r="E10" s="13">
        <v>1</v>
      </c>
      <c r="F10" s="13">
        <v>1</v>
      </c>
      <c r="G10" s="13">
        <v>1</v>
      </c>
      <c r="H10" s="13">
        <v>0.72000000000000008</v>
      </c>
      <c r="I10" s="13">
        <v>1</v>
      </c>
      <c r="J10" s="13">
        <v>0.95</v>
      </c>
      <c r="K10" s="13">
        <v>1</v>
      </c>
      <c r="L10">
        <v>1</v>
      </c>
      <c r="M10" s="11">
        <v>0.9916666666666667</v>
      </c>
      <c r="N10">
        <f t="shared" ref="N10" si="4">(SUM(D10:K11)+L10)*0.6/9+M10*0.4</f>
        <v>0.96355555555555561</v>
      </c>
    </row>
    <row r="11" spans="1:14" ht="15" thickBot="1" x14ac:dyDescent="0.45">
      <c r="A11" s="4" t="s">
        <v>45</v>
      </c>
      <c r="B11" s="5" t="s">
        <v>46</v>
      </c>
      <c r="C11" s="6">
        <v>286945</v>
      </c>
      <c r="D11" s="13"/>
      <c r="E11" s="13"/>
      <c r="F11" s="13"/>
      <c r="G11" s="13"/>
      <c r="H11" s="13"/>
      <c r="I11" s="13"/>
      <c r="J11" s="13"/>
      <c r="K11" s="13"/>
      <c r="L11">
        <v>0.96666666666666667</v>
      </c>
      <c r="M11" s="11">
        <v>0.9</v>
      </c>
      <c r="N11">
        <f t="shared" ref="N11" si="5">(SUM(D10:K11)+L11)*0.6/9+M11*0.4</f>
        <v>0.92466666666666675</v>
      </c>
    </row>
    <row r="12" spans="1:14" x14ac:dyDescent="0.4">
      <c r="A12" s="1" t="s">
        <v>47</v>
      </c>
      <c r="B12" s="2" t="s">
        <v>48</v>
      </c>
      <c r="C12" s="3">
        <v>276395</v>
      </c>
      <c r="D12" s="13">
        <v>0.53333333333333333</v>
      </c>
      <c r="E12" s="13">
        <v>1</v>
      </c>
      <c r="F12" s="13">
        <v>0.39999999999999997</v>
      </c>
      <c r="G12" s="13">
        <v>0.5714285714285714</v>
      </c>
      <c r="H12" s="13">
        <v>0</v>
      </c>
      <c r="I12" s="13">
        <v>0.5</v>
      </c>
      <c r="J12" s="13">
        <v>0.64999999999999991</v>
      </c>
      <c r="K12" s="13">
        <v>0.33333333333333331</v>
      </c>
      <c r="L12">
        <v>1</v>
      </c>
      <c r="M12" s="11">
        <v>1</v>
      </c>
      <c r="N12">
        <f t="shared" ref="N12" si="6">(SUM(D12:K13)+L12)*0.6/9+M12*0.4</f>
        <v>0.7325396825396826</v>
      </c>
    </row>
    <row r="13" spans="1:14" ht="15" thickBot="1" x14ac:dyDescent="0.45">
      <c r="A13" s="4" t="s">
        <v>47</v>
      </c>
      <c r="B13" s="5" t="s">
        <v>49</v>
      </c>
      <c r="C13" s="6">
        <v>285489</v>
      </c>
      <c r="D13" s="13"/>
      <c r="E13" s="13"/>
      <c r="F13" s="13"/>
      <c r="G13" s="13"/>
      <c r="H13" s="13"/>
      <c r="I13" s="13"/>
      <c r="J13" s="13"/>
      <c r="K13" s="13"/>
      <c r="L13">
        <v>1</v>
      </c>
      <c r="M13" s="11">
        <v>1</v>
      </c>
      <c r="N13">
        <f t="shared" ref="N13" si="7">(SUM(D12:K13)+L13)*0.6/9+M13*0.4</f>
        <v>0.7325396825396826</v>
      </c>
    </row>
    <row r="14" spans="1:14" ht="15" thickBot="1" x14ac:dyDescent="0.45">
      <c r="A14" s="4" t="s">
        <v>47</v>
      </c>
      <c r="B14" s="5" t="s">
        <v>62</v>
      </c>
      <c r="C14" s="6">
        <v>246173</v>
      </c>
      <c r="D14" s="13">
        <v>0.16666666666666666</v>
      </c>
      <c r="E14" s="13">
        <v>0</v>
      </c>
      <c r="F14" s="13">
        <v>0.16666666666666666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>
        <v>0.9</v>
      </c>
      <c r="M14" s="12">
        <v>1</v>
      </c>
      <c r="N14">
        <f t="shared" ref="N14" si="8">(SUM(D14:K15)+L14)*0.6/9+M14*0.4</f>
        <v>0.48222222222222222</v>
      </c>
    </row>
    <row r="15" spans="1:14" x14ac:dyDescent="0.4">
      <c r="D15" s="13"/>
      <c r="E15" s="13"/>
      <c r="F15" s="13"/>
      <c r="G15" s="13"/>
      <c r="H15" s="13"/>
      <c r="I15" s="13"/>
      <c r="J15" s="13"/>
      <c r="K15" s="13"/>
    </row>
  </sheetData>
  <mergeCells count="56">
    <mergeCell ref="J12:J13"/>
    <mergeCell ref="K2:K3"/>
    <mergeCell ref="K4:K5"/>
    <mergeCell ref="K6:K7"/>
    <mergeCell ref="K8:K9"/>
    <mergeCell ref="K10:K11"/>
    <mergeCell ref="K12:K13"/>
    <mergeCell ref="J2:J3"/>
    <mergeCell ref="J4:J5"/>
    <mergeCell ref="J6:J7"/>
    <mergeCell ref="J8:J9"/>
    <mergeCell ref="J10:J11"/>
    <mergeCell ref="H12:H13"/>
    <mergeCell ref="I2:I3"/>
    <mergeCell ref="I4:I5"/>
    <mergeCell ref="I6:I7"/>
    <mergeCell ref="I8:I9"/>
    <mergeCell ref="I10:I11"/>
    <mergeCell ref="I12:I13"/>
    <mergeCell ref="H2:H3"/>
    <mergeCell ref="H4:H5"/>
    <mergeCell ref="H6:H7"/>
    <mergeCell ref="H8:H9"/>
    <mergeCell ref="H10:H11"/>
    <mergeCell ref="F12:F13"/>
    <mergeCell ref="G2:G3"/>
    <mergeCell ref="G4:G5"/>
    <mergeCell ref="G6:G7"/>
    <mergeCell ref="G8:G9"/>
    <mergeCell ref="G10:G11"/>
    <mergeCell ref="G12:G13"/>
    <mergeCell ref="F2:F3"/>
    <mergeCell ref="F4:F5"/>
    <mergeCell ref="F6:F7"/>
    <mergeCell ref="F8:F9"/>
    <mergeCell ref="F10:F11"/>
    <mergeCell ref="D12:D13"/>
    <mergeCell ref="E2:E3"/>
    <mergeCell ref="E4:E5"/>
    <mergeCell ref="E6:E7"/>
    <mergeCell ref="E8:E9"/>
    <mergeCell ref="E10:E11"/>
    <mergeCell ref="E12:E13"/>
    <mergeCell ref="D2:D3"/>
    <mergeCell ref="D4:D5"/>
    <mergeCell ref="D6:D7"/>
    <mergeCell ref="D8:D9"/>
    <mergeCell ref="D10:D11"/>
    <mergeCell ref="I14:I15"/>
    <mergeCell ref="J14:J15"/>
    <mergeCell ref="K14:K15"/>
    <mergeCell ref="D14:D15"/>
    <mergeCell ref="E14:E15"/>
    <mergeCell ref="F14:F15"/>
    <mergeCell ref="G14:G15"/>
    <mergeCell ref="H14:H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Practica9</vt:lpstr>
      <vt:lpstr>Practica8</vt:lpstr>
      <vt:lpstr>Practica7</vt:lpstr>
      <vt:lpstr>Practica6</vt:lpstr>
      <vt:lpstr>Practica5</vt:lpstr>
      <vt:lpstr>Practica4</vt:lpstr>
      <vt:lpstr>Actividad6</vt:lpstr>
      <vt:lpstr>Actividad5</vt:lpstr>
      <vt:lpstr>Actividad4</vt:lpstr>
      <vt:lpstr>Examen2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Lince</dc:creator>
  <cp:lastModifiedBy>EDUARDO LINCE GOMEZ</cp:lastModifiedBy>
  <dcterms:created xsi:type="dcterms:W3CDTF">2015-06-05T18:19:34Z</dcterms:created>
  <dcterms:modified xsi:type="dcterms:W3CDTF">2025-11-11T02:16:24Z</dcterms:modified>
</cp:coreProperties>
</file>