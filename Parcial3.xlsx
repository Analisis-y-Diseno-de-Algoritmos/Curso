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Universidad_Panamerica\2026-1\Analisis_y_diseño_de_Algoritmos\Curso\"/>
    </mc:Choice>
  </mc:AlternateContent>
  <xr:revisionPtr revIDLastSave="0" documentId="13_ncr:1_{899ABDDA-12ED-4111-9AB4-34A369B270B2}" xr6:coauthVersionLast="47" xr6:coauthVersionMax="47" xr10:uidLastSave="{00000000-0000-0000-0000-000000000000}"/>
  <bookViews>
    <workbookView xWindow="11151" yWindow="0" windowWidth="18420" windowHeight="11709" firstSheet="5" activeTab="7" xr2:uid="{00000000-000D-0000-FFFF-FFFF00000000}"/>
  </bookViews>
  <sheets>
    <sheet name="Practica12" sheetId="7" r:id="rId1"/>
    <sheet name="Practica11" sheetId="8" r:id="rId2"/>
    <sheet name="Practica10" sheetId="9" r:id="rId3"/>
    <sheet name="Actividad10" sheetId="11" r:id="rId4"/>
    <sheet name="Actividad9" sheetId="2" r:id="rId5"/>
    <sheet name="Actividad8" sheetId="3" r:id="rId6"/>
    <sheet name="Actividad7" sheetId="4" r:id="rId7"/>
    <sheet name="Final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6" l="1"/>
  <c r="M6" i="6"/>
  <c r="M8" i="6"/>
  <c r="M10" i="6"/>
  <c r="M12" i="6"/>
  <c r="M14" i="6"/>
  <c r="M2" i="6"/>
  <c r="G4" i="7"/>
  <c r="G6" i="7"/>
  <c r="G8" i="7"/>
  <c r="G10" i="7"/>
  <c r="G12" i="7"/>
  <c r="G2" i="7"/>
  <c r="H4" i="8"/>
  <c r="H6" i="8"/>
  <c r="H8" i="8"/>
  <c r="H10" i="8"/>
  <c r="H12" i="8"/>
  <c r="H14" i="8"/>
  <c r="H2" i="8"/>
  <c r="G4" i="9"/>
  <c r="G6" i="9"/>
  <c r="G8" i="9"/>
  <c r="G10" i="9"/>
  <c r="G12" i="9"/>
  <c r="G14" i="9"/>
  <c r="G2" i="9"/>
  <c r="F4" i="11"/>
  <c r="F6" i="11"/>
  <c r="F8" i="11"/>
  <c r="F10" i="11"/>
  <c r="F12" i="11"/>
  <c r="F14" i="11"/>
  <c r="F2" i="11"/>
  <c r="F4" i="2"/>
  <c r="F6" i="2"/>
  <c r="F8" i="2"/>
  <c r="F10" i="2"/>
  <c r="F12" i="2"/>
  <c r="F14" i="2"/>
  <c r="F2" i="2"/>
  <c r="G4" i="3"/>
  <c r="G6" i="3"/>
  <c r="G8" i="3"/>
  <c r="G10" i="3"/>
  <c r="G12" i="3"/>
  <c r="G14" i="3"/>
  <c r="G2" i="3"/>
  <c r="G4" i="4"/>
  <c r="G6" i="4"/>
  <c r="G8" i="4"/>
  <c r="G10" i="4"/>
  <c r="G12" i="4"/>
  <c r="G14" i="4"/>
  <c r="G2" i="4"/>
  <c r="G14" i="7"/>
</calcChain>
</file>

<file path=xl/sharedStrings.xml><?xml version="1.0" encoding="utf-8"?>
<sst xmlns="http://schemas.openxmlformats.org/spreadsheetml/2006/main" count="269" uniqueCount="42">
  <si>
    <t>Apellido</t>
  </si>
  <si>
    <t>Nombre</t>
  </si>
  <si>
    <t xml:space="preserve">ID </t>
  </si>
  <si>
    <t>Total</t>
  </si>
  <si>
    <t>Ejercicio1</t>
  </si>
  <si>
    <t>Ejercicio2</t>
  </si>
  <si>
    <t>Ejercicio3</t>
  </si>
  <si>
    <t>Ejercicio4</t>
  </si>
  <si>
    <t>Aristeo Farid</t>
  </si>
  <si>
    <t>Mucito García</t>
  </si>
  <si>
    <t>José Daniel</t>
  </si>
  <si>
    <t>Molina Carrillo</t>
  </si>
  <si>
    <t>Gustavo</t>
  </si>
  <si>
    <t>Torres Tejeda</t>
  </si>
  <si>
    <t>María Fernanda</t>
  </si>
  <si>
    <t>Soria Trejo</t>
  </si>
  <si>
    <t>Jan Alexander</t>
  </si>
  <si>
    <t>Andrade Almonte</t>
  </si>
  <si>
    <t>Arturo</t>
  </si>
  <si>
    <t>Prudencio Bonilla</t>
  </si>
  <si>
    <t>Maximiliano</t>
  </si>
  <si>
    <t>De Ochoa López</t>
  </si>
  <si>
    <t>Leonardo Daniel</t>
  </si>
  <si>
    <t>Arenas Serafín</t>
  </si>
  <si>
    <t>Ricardo Daniel</t>
  </si>
  <si>
    <t>Uribe Guizado</t>
  </si>
  <si>
    <t>José Iván</t>
  </si>
  <si>
    <t>Reyna Blanco</t>
  </si>
  <si>
    <t>Santiago</t>
  </si>
  <si>
    <t>Saldivar Garcini</t>
  </si>
  <si>
    <t>Vázquez Serna</t>
  </si>
  <si>
    <t>Garibay Vega</t>
  </si>
  <si>
    <t>Actividad7</t>
  </si>
  <si>
    <t>Actividad8</t>
  </si>
  <si>
    <t>Actividad9</t>
  </si>
  <si>
    <t>Actividad10</t>
  </si>
  <si>
    <t>Practica10</t>
  </si>
  <si>
    <t>Practica11</t>
  </si>
  <si>
    <t>Practica12</t>
  </si>
  <si>
    <t>Proyecto Presentación</t>
  </si>
  <si>
    <t>Proyecto Implementación</t>
  </si>
  <si>
    <t>Puntos 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</si>
</sst>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487C-061E-49D1-B383-7CB021B9E5C0}">
  <dimension ref="A1:G15"/>
  <sheetViews>
    <sheetView workbookViewId="0">
      <selection activeCell="G2" sqref="G2:G15"/>
    </sheetView>
  </sheetViews>
  <sheetFormatPr baseColWidth="10" defaultRowHeight="14.6" x14ac:dyDescent="0.4"/>
  <sheetData>
    <row r="1" spans="1:7" ht="15" thickBot="1" x14ac:dyDescent="0.45">
      <c r="A1" t="s">
        <v>1</v>
      </c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3</v>
      </c>
    </row>
    <row r="2" spans="1:7" x14ac:dyDescent="0.4">
      <c r="A2" s="1" t="s">
        <v>8</v>
      </c>
      <c r="B2" s="2" t="s">
        <v>9</v>
      </c>
      <c r="C2" s="3">
        <v>281528</v>
      </c>
      <c r="D2" s="7">
        <v>0</v>
      </c>
      <c r="E2" s="8">
        <v>0</v>
      </c>
      <c r="F2" s="8">
        <v>0</v>
      </c>
      <c r="G2" s="8">
        <f>(SUM(D2:F3))/3</f>
        <v>0</v>
      </c>
    </row>
    <row r="3" spans="1:7" ht="15" thickBot="1" x14ac:dyDescent="0.45">
      <c r="A3" s="4" t="s">
        <v>10</v>
      </c>
      <c r="B3" s="5" t="s">
        <v>11</v>
      </c>
      <c r="C3" s="6">
        <v>282193</v>
      </c>
      <c r="D3" s="7"/>
      <c r="E3" s="8"/>
      <c r="F3" s="8"/>
      <c r="G3" s="8"/>
    </row>
    <row r="4" spans="1:7" x14ac:dyDescent="0.4">
      <c r="A4" s="1" t="s">
        <v>12</v>
      </c>
      <c r="B4" s="2" t="s">
        <v>13</v>
      </c>
      <c r="C4" s="3">
        <v>255300</v>
      </c>
      <c r="D4" s="7">
        <v>1</v>
      </c>
      <c r="E4" s="8">
        <v>1</v>
      </c>
      <c r="F4" s="8">
        <v>1</v>
      </c>
      <c r="G4" s="8">
        <f t="shared" ref="G4:G13" si="0">(SUM(D4:F5))/3</f>
        <v>1</v>
      </c>
    </row>
    <row r="5" spans="1:7" ht="15" thickBot="1" x14ac:dyDescent="0.45">
      <c r="A5" s="4" t="s">
        <v>14</v>
      </c>
      <c r="B5" s="5" t="s">
        <v>15</v>
      </c>
      <c r="C5" s="6">
        <v>276864</v>
      </c>
      <c r="D5" s="7"/>
      <c r="E5" s="8"/>
      <c r="F5" s="8"/>
      <c r="G5" s="8"/>
    </row>
    <row r="6" spans="1:7" x14ac:dyDescent="0.4">
      <c r="A6" s="1" t="s">
        <v>16</v>
      </c>
      <c r="B6" s="2" t="s">
        <v>17</v>
      </c>
      <c r="C6" s="3">
        <v>283749</v>
      </c>
      <c r="D6" s="7">
        <v>1</v>
      </c>
      <c r="E6" s="8">
        <v>1</v>
      </c>
      <c r="F6" s="8">
        <v>1</v>
      </c>
      <c r="G6" s="8">
        <f t="shared" ref="G6:G13" si="1">(SUM(D6:F7))/3</f>
        <v>1</v>
      </c>
    </row>
    <row r="7" spans="1:7" ht="15" thickBot="1" x14ac:dyDescent="0.45">
      <c r="A7" s="4" t="s">
        <v>18</v>
      </c>
      <c r="B7" s="5" t="s">
        <v>19</v>
      </c>
      <c r="C7" s="6">
        <v>255295</v>
      </c>
      <c r="D7" s="7"/>
      <c r="E7" s="8"/>
      <c r="F7" s="8"/>
      <c r="G7" s="8"/>
    </row>
    <row r="8" spans="1:7" x14ac:dyDescent="0.4">
      <c r="A8" s="1" t="s">
        <v>20</v>
      </c>
      <c r="B8" s="2" t="s">
        <v>21</v>
      </c>
      <c r="C8" s="3">
        <v>286761</v>
      </c>
      <c r="D8" s="7">
        <v>1</v>
      </c>
      <c r="E8" s="8">
        <v>1</v>
      </c>
      <c r="F8" s="8">
        <v>1</v>
      </c>
      <c r="G8" s="8">
        <f t="shared" ref="G8:G13" si="2">(SUM(D8:F9))/3</f>
        <v>1</v>
      </c>
    </row>
    <row r="9" spans="1:7" ht="15" thickBot="1" x14ac:dyDescent="0.45">
      <c r="A9" s="4" t="s">
        <v>22</v>
      </c>
      <c r="B9" s="5" t="s">
        <v>23</v>
      </c>
      <c r="C9" s="6">
        <v>254049</v>
      </c>
      <c r="D9" s="7"/>
      <c r="E9" s="8"/>
      <c r="F9" s="8"/>
      <c r="G9" s="8"/>
    </row>
    <row r="10" spans="1:7" x14ac:dyDescent="0.4">
      <c r="A10" s="1" t="s">
        <v>24</v>
      </c>
      <c r="B10" s="2" t="s">
        <v>25</v>
      </c>
      <c r="C10" s="3">
        <v>285609</v>
      </c>
      <c r="D10" s="8">
        <v>1</v>
      </c>
      <c r="E10" s="8">
        <v>1</v>
      </c>
      <c r="F10" s="8">
        <v>1</v>
      </c>
      <c r="G10" s="8">
        <f t="shared" ref="G10:G13" si="3">(SUM(D10:F11))/3</f>
        <v>1</v>
      </c>
    </row>
    <row r="11" spans="1:7" ht="15" thickBot="1" x14ac:dyDescent="0.45">
      <c r="A11" s="4" t="s">
        <v>26</v>
      </c>
      <c r="B11" s="5" t="s">
        <v>27</v>
      </c>
      <c r="C11" s="6">
        <v>286945</v>
      </c>
      <c r="D11" s="8"/>
      <c r="E11" s="8"/>
      <c r="F11" s="8"/>
      <c r="G11" s="8"/>
    </row>
    <row r="12" spans="1:7" x14ac:dyDescent="0.4">
      <c r="A12" s="1" t="s">
        <v>28</v>
      </c>
      <c r="B12" s="2" t="s">
        <v>29</v>
      </c>
      <c r="C12" s="3">
        <v>276395</v>
      </c>
      <c r="D12" s="8">
        <v>1</v>
      </c>
      <c r="E12" s="8">
        <v>1</v>
      </c>
      <c r="F12" s="8">
        <v>1</v>
      </c>
      <c r="G12" s="8">
        <f t="shared" ref="G12:G13" si="4">(SUM(D12:F13))/3</f>
        <v>1</v>
      </c>
    </row>
    <row r="13" spans="1:7" ht="15" thickBot="1" x14ac:dyDescent="0.45">
      <c r="A13" s="4" t="s">
        <v>28</v>
      </c>
      <c r="B13" s="5" t="s">
        <v>30</v>
      </c>
      <c r="C13" s="6">
        <v>285489</v>
      </c>
      <c r="D13" s="8"/>
      <c r="E13" s="8"/>
      <c r="F13" s="8"/>
      <c r="G13" s="8"/>
    </row>
    <row r="14" spans="1:7" ht="15" thickBot="1" x14ac:dyDescent="0.45">
      <c r="A14" s="4" t="s">
        <v>28</v>
      </c>
      <c r="B14" s="5" t="s">
        <v>31</v>
      </c>
      <c r="C14" s="6">
        <v>246173</v>
      </c>
      <c r="D14" s="8">
        <v>0</v>
      </c>
      <c r="E14" s="8">
        <v>0</v>
      </c>
      <c r="F14" s="8">
        <v>0</v>
      </c>
      <c r="G14" s="8">
        <f>(SUM(D14:F15))/4</f>
        <v>0</v>
      </c>
    </row>
    <row r="15" spans="1:7" x14ac:dyDescent="0.4">
      <c r="D15" s="8"/>
      <c r="E15" s="8"/>
      <c r="F15" s="8"/>
      <c r="G15" s="8"/>
    </row>
  </sheetData>
  <mergeCells count="28">
    <mergeCell ref="G14:G15"/>
    <mergeCell ref="D14:D15"/>
    <mergeCell ref="E14:E15"/>
    <mergeCell ref="F14:F15"/>
    <mergeCell ref="G8:G9"/>
    <mergeCell ref="G10:G11"/>
    <mergeCell ref="D12:D13"/>
    <mergeCell ref="E12:E13"/>
    <mergeCell ref="F12:F13"/>
    <mergeCell ref="G12:G13"/>
    <mergeCell ref="G2:G3"/>
    <mergeCell ref="G4:G5"/>
    <mergeCell ref="G6:G7"/>
    <mergeCell ref="D10:D11"/>
    <mergeCell ref="E10:E11"/>
    <mergeCell ref="F10:F11"/>
    <mergeCell ref="D6:D7"/>
    <mergeCell ref="E6:E7"/>
    <mergeCell ref="F6:F7"/>
    <mergeCell ref="D8:D9"/>
    <mergeCell ref="E8:E9"/>
    <mergeCell ref="F8:F9"/>
    <mergeCell ref="D2:D3"/>
    <mergeCell ref="E2:E3"/>
    <mergeCell ref="F2:F3"/>
    <mergeCell ref="D4:D5"/>
    <mergeCell ref="E4:E5"/>
    <mergeCell ref="F4:F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5657-ED14-49F1-8508-FB64B12CAB9C}">
  <dimension ref="A1:H15"/>
  <sheetViews>
    <sheetView workbookViewId="0">
      <selection activeCell="H2" sqref="H2:H15"/>
    </sheetView>
  </sheetViews>
  <sheetFormatPr baseColWidth="10" defaultRowHeight="14.6" x14ac:dyDescent="0.4"/>
  <sheetData>
    <row r="1" spans="1:8" ht="15" thickBot="1" x14ac:dyDescent="0.45">
      <c r="A1" t="s">
        <v>1</v>
      </c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</row>
    <row r="2" spans="1:8" x14ac:dyDescent="0.4">
      <c r="A2" s="1" t="s">
        <v>8</v>
      </c>
      <c r="B2" s="2" t="s">
        <v>9</v>
      </c>
      <c r="C2" s="3">
        <v>281528</v>
      </c>
      <c r="D2" s="7">
        <v>0</v>
      </c>
      <c r="E2" s="8">
        <v>0</v>
      </c>
      <c r="F2" s="8">
        <v>0</v>
      </c>
      <c r="G2" s="8">
        <v>0</v>
      </c>
      <c r="H2" s="8">
        <f>(SUM(D2:G3))/4</f>
        <v>0</v>
      </c>
    </row>
    <row r="3" spans="1:8" ht="15" thickBot="1" x14ac:dyDescent="0.45">
      <c r="A3" s="4" t="s">
        <v>10</v>
      </c>
      <c r="B3" s="5" t="s">
        <v>11</v>
      </c>
      <c r="C3" s="6">
        <v>282193</v>
      </c>
      <c r="D3" s="7"/>
      <c r="E3" s="8"/>
      <c r="F3" s="8"/>
      <c r="G3" s="8"/>
      <c r="H3" s="8"/>
    </row>
    <row r="4" spans="1:8" x14ac:dyDescent="0.4">
      <c r="A4" s="1" t="s">
        <v>12</v>
      </c>
      <c r="B4" s="2" t="s">
        <v>13</v>
      </c>
      <c r="C4" s="3">
        <v>255300</v>
      </c>
      <c r="D4" s="7">
        <v>1</v>
      </c>
      <c r="E4" s="8">
        <v>1</v>
      </c>
      <c r="F4" s="8">
        <v>1</v>
      </c>
      <c r="G4" s="8">
        <v>1</v>
      </c>
      <c r="H4" s="8">
        <f t="shared" ref="H4:H15" si="0">(SUM(D4:G5))/4</f>
        <v>1</v>
      </c>
    </row>
    <row r="5" spans="1:8" ht="15" thickBot="1" x14ac:dyDescent="0.45">
      <c r="A5" s="4" t="s">
        <v>14</v>
      </c>
      <c r="B5" s="5" t="s">
        <v>15</v>
      </c>
      <c r="C5" s="6">
        <v>276864</v>
      </c>
      <c r="D5" s="7"/>
      <c r="E5" s="8"/>
      <c r="F5" s="8"/>
      <c r="G5" s="8"/>
      <c r="H5" s="8"/>
    </row>
    <row r="6" spans="1:8" x14ac:dyDescent="0.4">
      <c r="A6" s="1" t="s">
        <v>16</v>
      </c>
      <c r="B6" s="2" t="s">
        <v>17</v>
      </c>
      <c r="C6" s="3">
        <v>283749</v>
      </c>
      <c r="D6" s="7">
        <v>1</v>
      </c>
      <c r="E6" s="8">
        <v>1</v>
      </c>
      <c r="F6" s="8">
        <v>1</v>
      </c>
      <c r="G6" s="8">
        <v>1</v>
      </c>
      <c r="H6" s="8">
        <f t="shared" ref="H6:H15" si="1">(SUM(D6:G7))/4</f>
        <v>1</v>
      </c>
    </row>
    <row r="7" spans="1:8" ht="15" thickBot="1" x14ac:dyDescent="0.45">
      <c r="A7" s="4" t="s">
        <v>18</v>
      </c>
      <c r="B7" s="5" t="s">
        <v>19</v>
      </c>
      <c r="C7" s="6">
        <v>255295</v>
      </c>
      <c r="D7" s="7"/>
      <c r="E7" s="8"/>
      <c r="F7" s="8"/>
      <c r="G7" s="8"/>
      <c r="H7" s="8"/>
    </row>
    <row r="8" spans="1:8" x14ac:dyDescent="0.4">
      <c r="A8" s="1" t="s">
        <v>20</v>
      </c>
      <c r="B8" s="2" t="s">
        <v>21</v>
      </c>
      <c r="C8" s="3">
        <v>286761</v>
      </c>
      <c r="D8" s="7">
        <v>1</v>
      </c>
      <c r="E8" s="8">
        <v>1</v>
      </c>
      <c r="F8" s="8">
        <v>1</v>
      </c>
      <c r="G8" s="8">
        <v>1</v>
      </c>
      <c r="H8" s="8">
        <f t="shared" ref="H8:H15" si="2">(SUM(D8:G9))/4</f>
        <v>1</v>
      </c>
    </row>
    <row r="9" spans="1:8" ht="15" thickBot="1" x14ac:dyDescent="0.45">
      <c r="A9" s="4" t="s">
        <v>22</v>
      </c>
      <c r="B9" s="5" t="s">
        <v>23</v>
      </c>
      <c r="C9" s="6">
        <v>254049</v>
      </c>
      <c r="D9" s="7"/>
      <c r="E9" s="8"/>
      <c r="F9" s="8"/>
      <c r="G9" s="8"/>
      <c r="H9" s="8"/>
    </row>
    <row r="10" spans="1:8" x14ac:dyDescent="0.4">
      <c r="A10" s="1" t="s">
        <v>24</v>
      </c>
      <c r="B10" s="2" t="s">
        <v>25</v>
      </c>
      <c r="C10" s="3">
        <v>285609</v>
      </c>
      <c r="D10" s="8">
        <v>1</v>
      </c>
      <c r="E10" s="8">
        <v>1</v>
      </c>
      <c r="F10" s="8">
        <v>1</v>
      </c>
      <c r="G10" s="8">
        <v>1</v>
      </c>
      <c r="H10" s="8">
        <f t="shared" ref="H10:H15" si="3">(SUM(D10:G11))/4</f>
        <v>1</v>
      </c>
    </row>
    <row r="11" spans="1:8" ht="15" thickBot="1" x14ac:dyDescent="0.45">
      <c r="A11" s="4" t="s">
        <v>26</v>
      </c>
      <c r="B11" s="5" t="s">
        <v>27</v>
      </c>
      <c r="C11" s="6">
        <v>286945</v>
      </c>
      <c r="D11" s="8"/>
      <c r="E11" s="8"/>
      <c r="F11" s="8"/>
      <c r="G11" s="8"/>
      <c r="H11" s="8"/>
    </row>
    <row r="12" spans="1:8" x14ac:dyDescent="0.4">
      <c r="A12" s="1" t="s">
        <v>28</v>
      </c>
      <c r="B12" s="2" t="s">
        <v>29</v>
      </c>
      <c r="C12" s="3">
        <v>276395</v>
      </c>
      <c r="D12" s="8">
        <v>1</v>
      </c>
      <c r="E12" s="8">
        <v>1</v>
      </c>
      <c r="F12" s="8">
        <v>1</v>
      </c>
      <c r="G12" s="8">
        <v>1</v>
      </c>
      <c r="H12" s="8">
        <f t="shared" ref="H12:H15" si="4">(SUM(D12:G13))/4</f>
        <v>1</v>
      </c>
    </row>
    <row r="13" spans="1:8" ht="15" thickBot="1" x14ac:dyDescent="0.45">
      <c r="A13" s="4" t="s">
        <v>28</v>
      </c>
      <c r="B13" s="5" t="s">
        <v>30</v>
      </c>
      <c r="C13" s="6">
        <v>285489</v>
      </c>
      <c r="D13" s="8"/>
      <c r="E13" s="8"/>
      <c r="F13" s="8"/>
      <c r="G13" s="8"/>
      <c r="H13" s="8"/>
    </row>
    <row r="14" spans="1:8" ht="15" thickBot="1" x14ac:dyDescent="0.45">
      <c r="A14" s="4" t="s">
        <v>28</v>
      </c>
      <c r="B14" s="5" t="s">
        <v>31</v>
      </c>
      <c r="C14" s="6">
        <v>246173</v>
      </c>
      <c r="D14" s="8">
        <v>0</v>
      </c>
      <c r="E14" s="8">
        <v>0</v>
      </c>
      <c r="F14" s="8">
        <v>0</v>
      </c>
      <c r="G14" s="8">
        <v>0</v>
      </c>
      <c r="H14" s="8">
        <f t="shared" ref="H14:H15" si="5">(SUM(D14:G15))/4</f>
        <v>0</v>
      </c>
    </row>
    <row r="15" spans="1:8" x14ac:dyDescent="0.4">
      <c r="D15" s="8"/>
      <c r="E15" s="8"/>
      <c r="F15" s="8"/>
      <c r="G15" s="8"/>
      <c r="H15" s="8"/>
    </row>
  </sheetData>
  <mergeCells count="35">
    <mergeCell ref="H14:H15"/>
    <mergeCell ref="D14:D15"/>
    <mergeCell ref="E14:E15"/>
    <mergeCell ref="F14:F15"/>
    <mergeCell ref="G14:G15"/>
    <mergeCell ref="H10:H11"/>
    <mergeCell ref="D12:D13"/>
    <mergeCell ref="E12:E13"/>
    <mergeCell ref="F12:F13"/>
    <mergeCell ref="G12:G13"/>
    <mergeCell ref="H12:H13"/>
    <mergeCell ref="D10:D11"/>
    <mergeCell ref="E10:E11"/>
    <mergeCell ref="F10:F11"/>
    <mergeCell ref="G10:G11"/>
    <mergeCell ref="H6:H7"/>
    <mergeCell ref="H8:H9"/>
    <mergeCell ref="H2:H3"/>
    <mergeCell ref="H4:H5"/>
    <mergeCell ref="D6:D7"/>
    <mergeCell ref="E6:E7"/>
    <mergeCell ref="F6:F7"/>
    <mergeCell ref="G6:G7"/>
    <mergeCell ref="D8:D9"/>
    <mergeCell ref="E8:E9"/>
    <mergeCell ref="F8:F9"/>
    <mergeCell ref="G8:G9"/>
    <mergeCell ref="D2:D3"/>
    <mergeCell ref="E2:E3"/>
    <mergeCell ref="F2:F3"/>
    <mergeCell ref="G2:G3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5605-C19F-438D-89DA-C5533131D22C}">
  <dimension ref="A1:G15"/>
  <sheetViews>
    <sheetView workbookViewId="0">
      <selection activeCell="G2" sqref="G2:G15"/>
    </sheetView>
  </sheetViews>
  <sheetFormatPr baseColWidth="10" defaultRowHeight="14.6" x14ac:dyDescent="0.4"/>
  <sheetData>
    <row r="1" spans="1:7" ht="15" thickBot="1" x14ac:dyDescent="0.45">
      <c r="A1" t="s">
        <v>1</v>
      </c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3</v>
      </c>
    </row>
    <row r="2" spans="1:7" x14ac:dyDescent="0.4">
      <c r="A2" s="1" t="s">
        <v>8</v>
      </c>
      <c r="B2" s="2" t="s">
        <v>9</v>
      </c>
      <c r="C2" s="3">
        <v>281528</v>
      </c>
      <c r="D2" s="7">
        <v>0.5</v>
      </c>
      <c r="E2" s="8">
        <v>0.5</v>
      </c>
      <c r="F2" s="8">
        <v>0.5</v>
      </c>
      <c r="G2" s="8">
        <f>(SUM(D2:F3))/3</f>
        <v>0.5</v>
      </c>
    </row>
    <row r="3" spans="1:7" ht="15" thickBot="1" x14ac:dyDescent="0.45">
      <c r="A3" s="4" t="s">
        <v>10</v>
      </c>
      <c r="B3" s="5" t="s">
        <v>11</v>
      </c>
      <c r="C3" s="6">
        <v>282193</v>
      </c>
      <c r="D3" s="7"/>
      <c r="E3" s="8"/>
      <c r="F3" s="8"/>
      <c r="G3" s="8"/>
    </row>
    <row r="4" spans="1:7" x14ac:dyDescent="0.4">
      <c r="A4" s="1" t="s">
        <v>12</v>
      </c>
      <c r="B4" s="2" t="s">
        <v>13</v>
      </c>
      <c r="C4" s="3">
        <v>255300</v>
      </c>
      <c r="D4" s="7">
        <v>1</v>
      </c>
      <c r="E4" s="8">
        <v>1</v>
      </c>
      <c r="F4" s="8">
        <v>1</v>
      </c>
      <c r="G4" s="8">
        <f t="shared" ref="G4:G15" si="0">(SUM(D4:F5))/3</f>
        <v>1</v>
      </c>
    </row>
    <row r="5" spans="1:7" ht="15" thickBot="1" x14ac:dyDescent="0.45">
      <c r="A5" s="4" t="s">
        <v>14</v>
      </c>
      <c r="B5" s="5" t="s">
        <v>15</v>
      </c>
      <c r="C5" s="6">
        <v>276864</v>
      </c>
      <c r="D5" s="7"/>
      <c r="E5" s="8"/>
      <c r="F5" s="8"/>
      <c r="G5" s="8"/>
    </row>
    <row r="6" spans="1:7" x14ac:dyDescent="0.4">
      <c r="A6" s="1" t="s">
        <v>16</v>
      </c>
      <c r="B6" s="2" t="s">
        <v>17</v>
      </c>
      <c r="C6" s="3">
        <v>283749</v>
      </c>
      <c r="D6" s="7">
        <v>0</v>
      </c>
      <c r="E6" s="8">
        <v>0</v>
      </c>
      <c r="F6" s="8">
        <v>0</v>
      </c>
      <c r="G6" s="8">
        <f t="shared" ref="G6:G15" si="1">(SUM(D6:F7))/3</f>
        <v>0</v>
      </c>
    </row>
    <row r="7" spans="1:7" ht="15" thickBot="1" x14ac:dyDescent="0.45">
      <c r="A7" s="4" t="s">
        <v>18</v>
      </c>
      <c r="B7" s="5" t="s">
        <v>19</v>
      </c>
      <c r="C7" s="6">
        <v>255295</v>
      </c>
      <c r="D7" s="7"/>
      <c r="E7" s="8"/>
      <c r="F7" s="8"/>
      <c r="G7" s="8"/>
    </row>
    <row r="8" spans="1:7" x14ac:dyDescent="0.4">
      <c r="A8" s="1" t="s">
        <v>20</v>
      </c>
      <c r="B8" s="2" t="s">
        <v>21</v>
      </c>
      <c r="C8" s="3">
        <v>286761</v>
      </c>
      <c r="D8" s="7">
        <v>1</v>
      </c>
      <c r="E8" s="8">
        <v>0.5</v>
      </c>
      <c r="F8" s="8">
        <v>0.5</v>
      </c>
      <c r="G8" s="8">
        <f t="shared" ref="G8:G15" si="2">(SUM(D8:F9))/3</f>
        <v>0.66666666666666663</v>
      </c>
    </row>
    <row r="9" spans="1:7" ht="15" thickBot="1" x14ac:dyDescent="0.45">
      <c r="A9" s="4" t="s">
        <v>22</v>
      </c>
      <c r="B9" s="5" t="s">
        <v>23</v>
      </c>
      <c r="C9" s="6">
        <v>254049</v>
      </c>
      <c r="D9" s="7"/>
      <c r="E9" s="8"/>
      <c r="F9" s="8"/>
      <c r="G9" s="8"/>
    </row>
    <row r="10" spans="1:7" x14ac:dyDescent="0.4">
      <c r="A10" s="1" t="s">
        <v>24</v>
      </c>
      <c r="B10" s="2" t="s">
        <v>25</v>
      </c>
      <c r="C10" s="3">
        <v>285609</v>
      </c>
      <c r="D10" s="7">
        <v>1</v>
      </c>
      <c r="E10" s="8">
        <v>1</v>
      </c>
      <c r="F10" s="8">
        <v>1</v>
      </c>
      <c r="G10" s="8">
        <f t="shared" ref="G10:G15" si="3">(SUM(D10:F11))/3</f>
        <v>1</v>
      </c>
    </row>
    <row r="11" spans="1:7" ht="15" thickBot="1" x14ac:dyDescent="0.45">
      <c r="A11" s="4" t="s">
        <v>26</v>
      </c>
      <c r="B11" s="5" t="s">
        <v>27</v>
      </c>
      <c r="C11" s="6">
        <v>286945</v>
      </c>
      <c r="D11" s="7"/>
      <c r="E11" s="8"/>
      <c r="F11" s="8"/>
      <c r="G11" s="8"/>
    </row>
    <row r="12" spans="1:7" x14ac:dyDescent="0.4">
      <c r="A12" s="1" t="s">
        <v>28</v>
      </c>
      <c r="B12" s="2" t="s">
        <v>29</v>
      </c>
      <c r="C12" s="3">
        <v>276395</v>
      </c>
      <c r="D12" s="7">
        <v>1</v>
      </c>
      <c r="E12" s="8">
        <v>0.5</v>
      </c>
      <c r="F12" s="8">
        <v>0.5</v>
      </c>
      <c r="G12" s="8">
        <f t="shared" ref="G12:G15" si="4">(SUM(D12:F13))/3</f>
        <v>0.66666666666666663</v>
      </c>
    </row>
    <row r="13" spans="1:7" ht="15" thickBot="1" x14ac:dyDescent="0.45">
      <c r="A13" s="4" t="s">
        <v>28</v>
      </c>
      <c r="B13" s="5" t="s">
        <v>30</v>
      </c>
      <c r="C13" s="6">
        <v>285489</v>
      </c>
      <c r="D13" s="7"/>
      <c r="E13" s="8"/>
      <c r="F13" s="8"/>
      <c r="G13" s="8"/>
    </row>
    <row r="14" spans="1:7" ht="15" thickBot="1" x14ac:dyDescent="0.45">
      <c r="A14" s="4" t="s">
        <v>28</v>
      </c>
      <c r="B14" s="5" t="s">
        <v>31</v>
      </c>
      <c r="C14" s="6">
        <v>246173</v>
      </c>
      <c r="D14" s="7">
        <v>0</v>
      </c>
      <c r="E14" s="8">
        <v>0</v>
      </c>
      <c r="F14" s="8">
        <v>0</v>
      </c>
      <c r="G14" s="8">
        <f t="shared" ref="G14:G15" si="5">(SUM(D14:F15))/3</f>
        <v>0</v>
      </c>
    </row>
    <row r="15" spans="1:7" x14ac:dyDescent="0.4">
      <c r="D15" s="7"/>
      <c r="E15" s="8"/>
      <c r="F15" s="8"/>
      <c r="G15" s="8"/>
    </row>
  </sheetData>
  <mergeCells count="28">
    <mergeCell ref="G14:G15"/>
    <mergeCell ref="D14:D15"/>
    <mergeCell ref="E14:E15"/>
    <mergeCell ref="F14:F15"/>
    <mergeCell ref="G10:G11"/>
    <mergeCell ref="D12:D13"/>
    <mergeCell ref="E12:E13"/>
    <mergeCell ref="F12:F13"/>
    <mergeCell ref="G12:G13"/>
    <mergeCell ref="D10:D11"/>
    <mergeCell ref="E10:E11"/>
    <mergeCell ref="F10:F11"/>
    <mergeCell ref="G6:G7"/>
    <mergeCell ref="G8:G9"/>
    <mergeCell ref="G2:G3"/>
    <mergeCell ref="G4:G5"/>
    <mergeCell ref="D6:D7"/>
    <mergeCell ref="E6:E7"/>
    <mergeCell ref="F6:F7"/>
    <mergeCell ref="D8:D9"/>
    <mergeCell ref="E8:E9"/>
    <mergeCell ref="F8:F9"/>
    <mergeCell ref="D2:D3"/>
    <mergeCell ref="E2:E3"/>
    <mergeCell ref="F2:F3"/>
    <mergeCell ref="D4:D5"/>
    <mergeCell ref="E4:E5"/>
    <mergeCell ref="F4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45-F50E-4C8E-A7DE-18F34B7E10FE}">
  <dimension ref="A1:F15"/>
  <sheetViews>
    <sheetView workbookViewId="0">
      <selection activeCell="F2" sqref="F2:F15"/>
    </sheetView>
  </sheetViews>
  <sheetFormatPr baseColWidth="10" defaultRowHeight="14.6" x14ac:dyDescent="0.4"/>
  <sheetData>
    <row r="1" spans="1:6" ht="15" thickBot="1" x14ac:dyDescent="0.45">
      <c r="A1" t="s">
        <v>1</v>
      </c>
      <c r="B1" t="s">
        <v>0</v>
      </c>
      <c r="C1" t="s">
        <v>2</v>
      </c>
      <c r="D1" t="s">
        <v>4</v>
      </c>
      <c r="E1" t="s">
        <v>5</v>
      </c>
      <c r="F1" t="s">
        <v>3</v>
      </c>
    </row>
    <row r="2" spans="1:6" x14ac:dyDescent="0.4">
      <c r="A2" s="1" t="s">
        <v>8</v>
      </c>
      <c r="B2" s="2" t="s">
        <v>9</v>
      </c>
      <c r="C2" s="3">
        <v>281528</v>
      </c>
      <c r="D2" s="7">
        <v>1</v>
      </c>
      <c r="E2" s="8">
        <v>1</v>
      </c>
      <c r="F2" s="8">
        <f>(SUM(D2:E3))/2</f>
        <v>1</v>
      </c>
    </row>
    <row r="3" spans="1:6" ht="15" thickBot="1" x14ac:dyDescent="0.45">
      <c r="A3" s="4" t="s">
        <v>10</v>
      </c>
      <c r="B3" s="5" t="s">
        <v>11</v>
      </c>
      <c r="C3" s="6">
        <v>282193</v>
      </c>
      <c r="D3" s="7"/>
      <c r="E3" s="8"/>
      <c r="F3" s="8"/>
    </row>
    <row r="4" spans="1:6" x14ac:dyDescent="0.4">
      <c r="A4" s="1" t="s">
        <v>12</v>
      </c>
      <c r="B4" s="2" t="s">
        <v>13</v>
      </c>
      <c r="C4" s="3">
        <v>255300</v>
      </c>
      <c r="D4" s="7">
        <v>0</v>
      </c>
      <c r="E4" s="8">
        <v>0</v>
      </c>
      <c r="F4" s="8">
        <f t="shared" ref="F4:F15" si="0">(SUM(D4:E5))/2</f>
        <v>0</v>
      </c>
    </row>
    <row r="5" spans="1:6" ht="15" thickBot="1" x14ac:dyDescent="0.45">
      <c r="A5" s="4" t="s">
        <v>14</v>
      </c>
      <c r="B5" s="5" t="s">
        <v>15</v>
      </c>
      <c r="C5" s="6">
        <v>276864</v>
      </c>
      <c r="D5" s="7"/>
      <c r="E5" s="8"/>
      <c r="F5" s="8"/>
    </row>
    <row r="6" spans="1:6" x14ac:dyDescent="0.4">
      <c r="A6" s="1" t="s">
        <v>16</v>
      </c>
      <c r="B6" s="2" t="s">
        <v>17</v>
      </c>
      <c r="C6" s="3">
        <v>283749</v>
      </c>
      <c r="D6" s="7">
        <v>1</v>
      </c>
      <c r="E6" s="8">
        <v>1</v>
      </c>
      <c r="F6" s="8">
        <f t="shared" ref="F6:F15" si="1">(SUM(D6:E7))/2</f>
        <v>1</v>
      </c>
    </row>
    <row r="7" spans="1:6" ht="15" thickBot="1" x14ac:dyDescent="0.45">
      <c r="A7" s="4" t="s">
        <v>18</v>
      </c>
      <c r="B7" s="5" t="s">
        <v>19</v>
      </c>
      <c r="C7" s="6">
        <v>255295</v>
      </c>
      <c r="D7" s="7"/>
      <c r="E7" s="8"/>
      <c r="F7" s="8"/>
    </row>
    <row r="8" spans="1:6" x14ac:dyDescent="0.4">
      <c r="A8" s="1" t="s">
        <v>20</v>
      </c>
      <c r="B8" s="2" t="s">
        <v>21</v>
      </c>
      <c r="C8" s="3">
        <v>286761</v>
      </c>
      <c r="D8" s="7">
        <v>0</v>
      </c>
      <c r="E8" s="8">
        <v>0</v>
      </c>
      <c r="F8" s="8">
        <f t="shared" ref="F8:F15" si="2">(SUM(D8:E9))/2</f>
        <v>0</v>
      </c>
    </row>
    <row r="9" spans="1:6" ht="15" thickBot="1" x14ac:dyDescent="0.45">
      <c r="A9" s="4" t="s">
        <v>22</v>
      </c>
      <c r="B9" s="5" t="s">
        <v>23</v>
      </c>
      <c r="C9" s="6">
        <v>254049</v>
      </c>
      <c r="D9" s="7"/>
      <c r="E9" s="8"/>
      <c r="F9" s="8"/>
    </row>
    <row r="10" spans="1:6" x14ac:dyDescent="0.4">
      <c r="A10" s="1" t="s">
        <v>24</v>
      </c>
      <c r="B10" s="2" t="s">
        <v>25</v>
      </c>
      <c r="C10" s="3">
        <v>285609</v>
      </c>
      <c r="D10" s="8">
        <v>0</v>
      </c>
      <c r="E10" s="8">
        <v>0</v>
      </c>
      <c r="F10" s="8">
        <f t="shared" ref="F10:F15" si="3">(SUM(D10:E11))/2</f>
        <v>0</v>
      </c>
    </row>
    <row r="11" spans="1:6" ht="15" thickBot="1" x14ac:dyDescent="0.45">
      <c r="A11" s="4" t="s">
        <v>26</v>
      </c>
      <c r="B11" s="5" t="s">
        <v>27</v>
      </c>
      <c r="C11" s="6">
        <v>286945</v>
      </c>
      <c r="D11" s="8"/>
      <c r="E11" s="8"/>
      <c r="F11" s="8"/>
    </row>
    <row r="12" spans="1:6" x14ac:dyDescent="0.4">
      <c r="A12" s="1" t="s">
        <v>28</v>
      </c>
      <c r="B12" s="2" t="s">
        <v>29</v>
      </c>
      <c r="C12" s="3">
        <v>276395</v>
      </c>
      <c r="D12" s="8">
        <v>0</v>
      </c>
      <c r="E12" s="8">
        <v>0</v>
      </c>
      <c r="F12" s="8">
        <f t="shared" ref="F12:F15" si="4">(SUM(D12:E13))/2</f>
        <v>0</v>
      </c>
    </row>
    <row r="13" spans="1:6" ht="15" thickBot="1" x14ac:dyDescent="0.45">
      <c r="A13" s="4" t="s">
        <v>28</v>
      </c>
      <c r="B13" s="5" t="s">
        <v>30</v>
      </c>
      <c r="C13" s="6">
        <v>285489</v>
      </c>
      <c r="D13" s="8"/>
      <c r="E13" s="8"/>
      <c r="F13" s="8"/>
    </row>
    <row r="14" spans="1:6" ht="15" thickBot="1" x14ac:dyDescent="0.45">
      <c r="A14" s="4" t="s">
        <v>28</v>
      </c>
      <c r="B14" s="5" t="s">
        <v>31</v>
      </c>
      <c r="C14" s="6">
        <v>246173</v>
      </c>
      <c r="D14" s="8">
        <v>0</v>
      </c>
      <c r="E14" s="8">
        <v>0</v>
      </c>
      <c r="F14" s="8">
        <f t="shared" ref="F14:F15" si="5">(SUM(D14:E15))/2</f>
        <v>0</v>
      </c>
    </row>
    <row r="15" spans="1:6" x14ac:dyDescent="0.4">
      <c r="D15" s="8"/>
      <c r="E15" s="8"/>
      <c r="F15" s="8"/>
    </row>
  </sheetData>
  <mergeCells count="21">
    <mergeCell ref="F6:F7"/>
    <mergeCell ref="F2:F3"/>
    <mergeCell ref="E14:E15"/>
    <mergeCell ref="F14:F15"/>
    <mergeCell ref="F10:F11"/>
    <mergeCell ref="D12:D13"/>
    <mergeCell ref="E12:E13"/>
    <mergeCell ref="F12:F13"/>
    <mergeCell ref="D10:D11"/>
    <mergeCell ref="E10:E11"/>
    <mergeCell ref="D14:D15"/>
    <mergeCell ref="F8:F9"/>
    <mergeCell ref="D6:D7"/>
    <mergeCell ref="E6:E7"/>
    <mergeCell ref="D8:D9"/>
    <mergeCell ref="E8:E9"/>
    <mergeCell ref="F4:F5"/>
    <mergeCell ref="D2:D3"/>
    <mergeCell ref="E2:E3"/>
    <mergeCell ref="D4:D5"/>
    <mergeCell ref="E4:E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3762-8C54-452B-82A3-78B52F4B728B}">
  <dimension ref="A1:F15"/>
  <sheetViews>
    <sheetView workbookViewId="0">
      <selection activeCell="F2" sqref="F2:F15"/>
    </sheetView>
  </sheetViews>
  <sheetFormatPr baseColWidth="10" defaultRowHeight="14.6" x14ac:dyDescent="0.4"/>
  <cols>
    <col min="1" max="1" width="12.84375" customWidth="1"/>
    <col min="2" max="2" width="15.23046875" customWidth="1"/>
    <col min="3" max="3" width="7.3828125" customWidth="1"/>
  </cols>
  <sheetData>
    <row r="1" spans="1:6" ht="15" thickBot="1" x14ac:dyDescent="0.45">
      <c r="A1" t="s">
        <v>1</v>
      </c>
      <c r="B1" t="s">
        <v>0</v>
      </c>
      <c r="C1" t="s">
        <v>2</v>
      </c>
      <c r="D1" t="s">
        <v>4</v>
      </c>
      <c r="E1" t="s">
        <v>5</v>
      </c>
      <c r="F1" t="s">
        <v>3</v>
      </c>
    </row>
    <row r="2" spans="1:6" x14ac:dyDescent="0.4">
      <c r="A2" s="1" t="s">
        <v>8</v>
      </c>
      <c r="B2" s="2" t="s">
        <v>9</v>
      </c>
      <c r="C2" s="3">
        <v>281528</v>
      </c>
      <c r="D2" s="7">
        <v>1</v>
      </c>
      <c r="E2" s="8">
        <v>1</v>
      </c>
      <c r="F2" s="8">
        <f>(SUM(D2:E3))/2</f>
        <v>1</v>
      </c>
    </row>
    <row r="3" spans="1:6" ht="15" thickBot="1" x14ac:dyDescent="0.45">
      <c r="A3" s="4" t="s">
        <v>10</v>
      </c>
      <c r="B3" s="5" t="s">
        <v>11</v>
      </c>
      <c r="C3" s="6">
        <v>282193</v>
      </c>
      <c r="D3" s="7"/>
      <c r="E3" s="8"/>
      <c r="F3" s="8"/>
    </row>
    <row r="4" spans="1:6" x14ac:dyDescent="0.4">
      <c r="A4" s="1" t="s">
        <v>12</v>
      </c>
      <c r="B4" s="2" t="s">
        <v>13</v>
      </c>
      <c r="C4" s="3">
        <v>255300</v>
      </c>
      <c r="D4" s="7">
        <v>1</v>
      </c>
      <c r="E4" s="8">
        <v>1</v>
      </c>
      <c r="F4" s="8">
        <f t="shared" ref="F4:F15" si="0">(SUM(D4:E5))/2</f>
        <v>1</v>
      </c>
    </row>
    <row r="5" spans="1:6" ht="15" thickBot="1" x14ac:dyDescent="0.45">
      <c r="A5" s="4" t="s">
        <v>14</v>
      </c>
      <c r="B5" s="5" t="s">
        <v>15</v>
      </c>
      <c r="C5" s="6">
        <v>276864</v>
      </c>
      <c r="D5" s="7"/>
      <c r="E5" s="8"/>
      <c r="F5" s="8"/>
    </row>
    <row r="6" spans="1:6" x14ac:dyDescent="0.4">
      <c r="A6" s="1" t="s">
        <v>16</v>
      </c>
      <c r="B6" s="2" t="s">
        <v>17</v>
      </c>
      <c r="C6" s="3">
        <v>283749</v>
      </c>
      <c r="D6" s="7">
        <v>0</v>
      </c>
      <c r="E6" s="8">
        <v>0</v>
      </c>
      <c r="F6" s="8">
        <f t="shared" ref="F6:F15" si="1">(SUM(D6:E7))/2</f>
        <v>0</v>
      </c>
    </row>
    <row r="7" spans="1:6" ht="15" thickBot="1" x14ac:dyDescent="0.45">
      <c r="A7" s="4" t="s">
        <v>18</v>
      </c>
      <c r="B7" s="5" t="s">
        <v>19</v>
      </c>
      <c r="C7" s="6">
        <v>255295</v>
      </c>
      <c r="D7" s="7"/>
      <c r="E7" s="8"/>
      <c r="F7" s="8"/>
    </row>
    <row r="8" spans="1:6" x14ac:dyDescent="0.4">
      <c r="A8" s="1" t="s">
        <v>20</v>
      </c>
      <c r="B8" s="2" t="s">
        <v>21</v>
      </c>
      <c r="C8" s="3">
        <v>286761</v>
      </c>
      <c r="D8" s="7">
        <v>1</v>
      </c>
      <c r="E8" s="8">
        <v>1</v>
      </c>
      <c r="F8" s="8">
        <f t="shared" ref="F8:F15" si="2">(SUM(D8:E9))/2</f>
        <v>1</v>
      </c>
    </row>
    <row r="9" spans="1:6" ht="15" thickBot="1" x14ac:dyDescent="0.45">
      <c r="A9" s="4" t="s">
        <v>22</v>
      </c>
      <c r="B9" s="5" t="s">
        <v>23</v>
      </c>
      <c r="C9" s="6">
        <v>254049</v>
      </c>
      <c r="D9" s="7"/>
      <c r="E9" s="8"/>
      <c r="F9" s="8"/>
    </row>
    <row r="10" spans="1:6" x14ac:dyDescent="0.4">
      <c r="A10" s="1" t="s">
        <v>24</v>
      </c>
      <c r="B10" s="2" t="s">
        <v>25</v>
      </c>
      <c r="C10" s="3">
        <v>285609</v>
      </c>
      <c r="D10" s="8">
        <v>1</v>
      </c>
      <c r="E10" s="8">
        <v>1</v>
      </c>
      <c r="F10" s="8">
        <f t="shared" ref="F10:F15" si="3">(SUM(D10:E11))/2</f>
        <v>1</v>
      </c>
    </row>
    <row r="11" spans="1:6" ht="15" thickBot="1" x14ac:dyDescent="0.45">
      <c r="A11" s="4" t="s">
        <v>26</v>
      </c>
      <c r="B11" s="5" t="s">
        <v>27</v>
      </c>
      <c r="C11" s="6">
        <v>286945</v>
      </c>
      <c r="D11" s="8"/>
      <c r="E11" s="8"/>
      <c r="F11" s="8"/>
    </row>
    <row r="12" spans="1:6" x14ac:dyDescent="0.4">
      <c r="A12" s="1" t="s">
        <v>28</v>
      </c>
      <c r="B12" s="2" t="s">
        <v>29</v>
      </c>
      <c r="C12" s="3">
        <v>276395</v>
      </c>
      <c r="D12" s="8">
        <v>0</v>
      </c>
      <c r="E12" s="8">
        <v>0</v>
      </c>
      <c r="F12" s="8">
        <f t="shared" ref="F12:F15" si="4">(SUM(D12:E13))/2</f>
        <v>0</v>
      </c>
    </row>
    <row r="13" spans="1:6" ht="15" thickBot="1" x14ac:dyDescent="0.45">
      <c r="A13" s="4" t="s">
        <v>28</v>
      </c>
      <c r="B13" s="5" t="s">
        <v>30</v>
      </c>
      <c r="C13" s="6">
        <v>285489</v>
      </c>
      <c r="D13" s="8"/>
      <c r="E13" s="8"/>
      <c r="F13" s="8"/>
    </row>
    <row r="14" spans="1:6" ht="15" thickBot="1" x14ac:dyDescent="0.45">
      <c r="A14" s="4" t="s">
        <v>28</v>
      </c>
      <c r="B14" s="5" t="s">
        <v>31</v>
      </c>
      <c r="C14" s="6">
        <v>246173</v>
      </c>
      <c r="D14" s="8">
        <v>0</v>
      </c>
      <c r="E14" s="8">
        <v>0</v>
      </c>
      <c r="F14" s="8">
        <f t="shared" ref="F14:F15" si="5">(SUM(D14:E15))/2</f>
        <v>0</v>
      </c>
    </row>
    <row r="15" spans="1:6" x14ac:dyDescent="0.4">
      <c r="D15" s="8"/>
      <c r="E15" s="8"/>
      <c r="F15" s="8"/>
    </row>
  </sheetData>
  <mergeCells count="21">
    <mergeCell ref="F14:F15"/>
    <mergeCell ref="D14:D15"/>
    <mergeCell ref="E14:E15"/>
    <mergeCell ref="F10:F11"/>
    <mergeCell ref="D12:D13"/>
    <mergeCell ref="E12:E13"/>
    <mergeCell ref="F12:F13"/>
    <mergeCell ref="F2:F3"/>
    <mergeCell ref="F4:F5"/>
    <mergeCell ref="D10:D11"/>
    <mergeCell ref="E10:E11"/>
    <mergeCell ref="D6:D7"/>
    <mergeCell ref="E6:E7"/>
    <mergeCell ref="F6:F7"/>
    <mergeCell ref="D8:D9"/>
    <mergeCell ref="E8:E9"/>
    <mergeCell ref="F8:F9"/>
    <mergeCell ref="D2:D3"/>
    <mergeCell ref="E2:E3"/>
    <mergeCell ref="D4:D5"/>
    <mergeCell ref="E4:E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DB09-3C61-412A-83BA-EC00599E8532}">
  <dimension ref="A1:G15"/>
  <sheetViews>
    <sheetView workbookViewId="0">
      <selection activeCell="G2" sqref="G2:G15"/>
    </sheetView>
  </sheetViews>
  <sheetFormatPr baseColWidth="10" defaultRowHeight="14.6" x14ac:dyDescent="0.4"/>
  <sheetData>
    <row r="1" spans="1:7" ht="15" thickBot="1" x14ac:dyDescent="0.45">
      <c r="A1" t="s">
        <v>1</v>
      </c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3</v>
      </c>
    </row>
    <row r="2" spans="1:7" x14ac:dyDescent="0.4">
      <c r="A2" s="1" t="s">
        <v>8</v>
      </c>
      <c r="B2" s="2" t="s">
        <v>9</v>
      </c>
      <c r="C2" s="3">
        <v>281528</v>
      </c>
      <c r="D2" s="7">
        <v>1</v>
      </c>
      <c r="E2" s="8">
        <v>1</v>
      </c>
      <c r="F2" s="8">
        <v>1</v>
      </c>
      <c r="G2" s="8">
        <f>(SUM(D2:F3))/3</f>
        <v>1</v>
      </c>
    </row>
    <row r="3" spans="1:7" ht="15" thickBot="1" x14ac:dyDescent="0.45">
      <c r="A3" s="4" t="s">
        <v>10</v>
      </c>
      <c r="B3" s="5" t="s">
        <v>11</v>
      </c>
      <c r="C3" s="6">
        <v>282193</v>
      </c>
      <c r="D3" s="7"/>
      <c r="E3" s="8"/>
      <c r="F3" s="8"/>
      <c r="G3" s="8"/>
    </row>
    <row r="4" spans="1:7" x14ac:dyDescent="0.4">
      <c r="A4" s="1" t="s">
        <v>12</v>
      </c>
      <c r="B4" s="2" t="s">
        <v>13</v>
      </c>
      <c r="C4" s="3">
        <v>255300</v>
      </c>
      <c r="D4" s="7">
        <v>1</v>
      </c>
      <c r="E4" s="8">
        <v>1</v>
      </c>
      <c r="F4" s="8">
        <v>1</v>
      </c>
      <c r="G4" s="8">
        <f t="shared" ref="G4:G15" si="0">(SUM(D4:F5))/3</f>
        <v>1</v>
      </c>
    </row>
    <row r="5" spans="1:7" ht="15" thickBot="1" x14ac:dyDescent="0.45">
      <c r="A5" s="4" t="s">
        <v>14</v>
      </c>
      <c r="B5" s="5" t="s">
        <v>15</v>
      </c>
      <c r="C5" s="6">
        <v>276864</v>
      </c>
      <c r="D5" s="7"/>
      <c r="E5" s="8"/>
      <c r="F5" s="8"/>
      <c r="G5" s="8"/>
    </row>
    <row r="6" spans="1:7" x14ac:dyDescent="0.4">
      <c r="A6" s="1" t="s">
        <v>16</v>
      </c>
      <c r="B6" s="2" t="s">
        <v>17</v>
      </c>
      <c r="C6" s="3">
        <v>283749</v>
      </c>
      <c r="D6" s="7">
        <v>1</v>
      </c>
      <c r="E6" s="8">
        <v>1</v>
      </c>
      <c r="F6" s="8">
        <v>1</v>
      </c>
      <c r="G6" s="8">
        <f t="shared" ref="G6:G15" si="1">(SUM(D6:F7))/3</f>
        <v>1</v>
      </c>
    </row>
    <row r="7" spans="1:7" ht="15" thickBot="1" x14ac:dyDescent="0.45">
      <c r="A7" s="4" t="s">
        <v>18</v>
      </c>
      <c r="B7" s="5" t="s">
        <v>19</v>
      </c>
      <c r="C7" s="6">
        <v>255295</v>
      </c>
      <c r="D7" s="7"/>
      <c r="E7" s="8"/>
      <c r="F7" s="8"/>
      <c r="G7" s="8"/>
    </row>
    <row r="8" spans="1:7" x14ac:dyDescent="0.4">
      <c r="A8" s="1" t="s">
        <v>20</v>
      </c>
      <c r="B8" s="2" t="s">
        <v>21</v>
      </c>
      <c r="C8" s="3">
        <v>286761</v>
      </c>
      <c r="D8" s="7">
        <v>0</v>
      </c>
      <c r="E8" s="8">
        <v>0</v>
      </c>
      <c r="F8" s="8">
        <v>0</v>
      </c>
      <c r="G8" s="8">
        <f t="shared" ref="G8:G15" si="2">(SUM(D8:F9))/3</f>
        <v>0</v>
      </c>
    </row>
    <row r="9" spans="1:7" ht="15" thickBot="1" x14ac:dyDescent="0.45">
      <c r="A9" s="4" t="s">
        <v>22</v>
      </c>
      <c r="B9" s="5" t="s">
        <v>23</v>
      </c>
      <c r="C9" s="6">
        <v>254049</v>
      </c>
      <c r="D9" s="7"/>
      <c r="E9" s="8"/>
      <c r="F9" s="8"/>
      <c r="G9" s="8"/>
    </row>
    <row r="10" spans="1:7" x14ac:dyDescent="0.4">
      <c r="A10" s="1" t="s">
        <v>24</v>
      </c>
      <c r="B10" s="2" t="s">
        <v>25</v>
      </c>
      <c r="C10" s="3">
        <v>285609</v>
      </c>
      <c r="D10" s="8">
        <v>1</v>
      </c>
      <c r="E10" s="8">
        <v>1</v>
      </c>
      <c r="F10" s="8">
        <v>0</v>
      </c>
      <c r="G10" s="8">
        <f t="shared" ref="G10:G15" si="3">(SUM(D10:F11))/3</f>
        <v>0.66666666666666663</v>
      </c>
    </row>
    <row r="11" spans="1:7" ht="15" thickBot="1" x14ac:dyDescent="0.45">
      <c r="A11" s="4" t="s">
        <v>26</v>
      </c>
      <c r="B11" s="5" t="s">
        <v>27</v>
      </c>
      <c r="C11" s="6">
        <v>286945</v>
      </c>
      <c r="D11" s="8"/>
      <c r="E11" s="8"/>
      <c r="F11" s="8"/>
      <c r="G11" s="8"/>
    </row>
    <row r="12" spans="1:7" x14ac:dyDescent="0.4">
      <c r="A12" s="1" t="s">
        <v>28</v>
      </c>
      <c r="B12" s="2" t="s">
        <v>29</v>
      </c>
      <c r="C12" s="3">
        <v>276395</v>
      </c>
      <c r="D12" s="8">
        <v>0</v>
      </c>
      <c r="E12" s="8">
        <v>0</v>
      </c>
      <c r="F12" s="8">
        <v>0</v>
      </c>
      <c r="G12" s="8">
        <f t="shared" ref="G12:G15" si="4">(SUM(D12:F13))/3</f>
        <v>0</v>
      </c>
    </row>
    <row r="13" spans="1:7" ht="15" thickBot="1" x14ac:dyDescent="0.45">
      <c r="A13" s="4" t="s">
        <v>28</v>
      </c>
      <c r="B13" s="5" t="s">
        <v>30</v>
      </c>
      <c r="C13" s="6">
        <v>285489</v>
      </c>
      <c r="D13" s="8"/>
      <c r="E13" s="8"/>
      <c r="F13" s="8"/>
      <c r="G13" s="8"/>
    </row>
    <row r="14" spans="1:7" ht="15" thickBot="1" x14ac:dyDescent="0.45">
      <c r="A14" s="4" t="s">
        <v>28</v>
      </c>
      <c r="B14" s="5" t="s">
        <v>31</v>
      </c>
      <c r="C14" s="6">
        <v>246173</v>
      </c>
      <c r="D14" s="8">
        <v>0</v>
      </c>
      <c r="E14" s="8">
        <v>0</v>
      </c>
      <c r="F14" s="8">
        <v>0</v>
      </c>
      <c r="G14" s="8">
        <f t="shared" ref="G14:G15" si="5">(SUM(D14:F15))/3</f>
        <v>0</v>
      </c>
    </row>
    <row r="15" spans="1:7" x14ac:dyDescent="0.4">
      <c r="D15" s="8"/>
      <c r="E15" s="8"/>
      <c r="F15" s="8"/>
      <c r="G15" s="8"/>
    </row>
  </sheetData>
  <mergeCells count="28">
    <mergeCell ref="G14:G15"/>
    <mergeCell ref="D14:D15"/>
    <mergeCell ref="E14:E15"/>
    <mergeCell ref="F14:F15"/>
    <mergeCell ref="G10:G11"/>
    <mergeCell ref="D12:D13"/>
    <mergeCell ref="E12:E13"/>
    <mergeCell ref="F12:F13"/>
    <mergeCell ref="G12:G13"/>
    <mergeCell ref="G6:G7"/>
    <mergeCell ref="G8:G9"/>
    <mergeCell ref="G2:G3"/>
    <mergeCell ref="G4:G5"/>
    <mergeCell ref="F2:F3"/>
    <mergeCell ref="D4:D5"/>
    <mergeCell ref="E4:E5"/>
    <mergeCell ref="F4:F5"/>
    <mergeCell ref="D10:D11"/>
    <mergeCell ref="E10:E11"/>
    <mergeCell ref="F10:F11"/>
    <mergeCell ref="D6:D7"/>
    <mergeCell ref="E6:E7"/>
    <mergeCell ref="F6:F7"/>
    <mergeCell ref="D8:D9"/>
    <mergeCell ref="E8:E9"/>
    <mergeCell ref="F8:F9"/>
    <mergeCell ref="D2:D3"/>
    <mergeCell ref="E2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8245-F09D-49B9-B889-B7278D240CDE}">
  <dimension ref="A1:G15"/>
  <sheetViews>
    <sheetView workbookViewId="0">
      <selection activeCell="G2" sqref="G2:G15"/>
    </sheetView>
  </sheetViews>
  <sheetFormatPr baseColWidth="10" defaultRowHeight="14.6" x14ac:dyDescent="0.4"/>
  <cols>
    <col min="4" max="5" width="8.61328125" customWidth="1"/>
    <col min="6" max="6" width="8.84375" customWidth="1"/>
    <col min="7" max="7" width="6.3046875" customWidth="1"/>
  </cols>
  <sheetData>
    <row r="1" spans="1:7" ht="15" thickBot="1" x14ac:dyDescent="0.45">
      <c r="A1" t="s">
        <v>1</v>
      </c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3</v>
      </c>
    </row>
    <row r="2" spans="1:7" x14ac:dyDescent="0.4">
      <c r="A2" s="1" t="s">
        <v>8</v>
      </c>
      <c r="B2" s="2" t="s">
        <v>9</v>
      </c>
      <c r="C2" s="3">
        <v>281528</v>
      </c>
      <c r="D2" s="7">
        <v>1</v>
      </c>
      <c r="E2" s="8">
        <v>1</v>
      </c>
      <c r="F2" s="8">
        <v>1</v>
      </c>
      <c r="G2" s="8">
        <f>(SUM(D2:F3))/3</f>
        <v>1</v>
      </c>
    </row>
    <row r="3" spans="1:7" ht="15" thickBot="1" x14ac:dyDescent="0.45">
      <c r="A3" s="4" t="s">
        <v>10</v>
      </c>
      <c r="B3" s="5" t="s">
        <v>11</v>
      </c>
      <c r="C3" s="6">
        <v>282193</v>
      </c>
      <c r="D3" s="7"/>
      <c r="E3" s="8"/>
      <c r="F3" s="8"/>
      <c r="G3" s="8"/>
    </row>
    <row r="4" spans="1:7" x14ac:dyDescent="0.4">
      <c r="A4" s="1" t="s">
        <v>12</v>
      </c>
      <c r="B4" s="2" t="s">
        <v>13</v>
      </c>
      <c r="C4" s="3">
        <v>255300</v>
      </c>
      <c r="D4" s="7">
        <v>1</v>
      </c>
      <c r="E4" s="8">
        <v>1</v>
      </c>
      <c r="F4" s="8">
        <v>1</v>
      </c>
      <c r="G4" s="8">
        <f t="shared" ref="G4:G15" si="0">(SUM(D4:F5))/3</f>
        <v>1</v>
      </c>
    </row>
    <row r="5" spans="1:7" ht="15" thickBot="1" x14ac:dyDescent="0.45">
      <c r="A5" s="4" t="s">
        <v>14</v>
      </c>
      <c r="B5" s="5" t="s">
        <v>15</v>
      </c>
      <c r="C5" s="6">
        <v>276864</v>
      </c>
      <c r="D5" s="7"/>
      <c r="E5" s="8"/>
      <c r="F5" s="8"/>
      <c r="G5" s="8"/>
    </row>
    <row r="6" spans="1:7" x14ac:dyDescent="0.4">
      <c r="A6" s="1" t="s">
        <v>16</v>
      </c>
      <c r="B6" s="2" t="s">
        <v>17</v>
      </c>
      <c r="C6" s="3">
        <v>283749</v>
      </c>
      <c r="D6" s="7">
        <v>1</v>
      </c>
      <c r="E6" s="8">
        <v>0.5</v>
      </c>
      <c r="F6" s="8">
        <v>0</v>
      </c>
      <c r="G6" s="8">
        <f t="shared" ref="G6:G15" si="1">(SUM(D6:F7))/3</f>
        <v>0.5</v>
      </c>
    </row>
    <row r="7" spans="1:7" ht="15" thickBot="1" x14ac:dyDescent="0.45">
      <c r="A7" s="4" t="s">
        <v>18</v>
      </c>
      <c r="B7" s="5" t="s">
        <v>19</v>
      </c>
      <c r="C7" s="6">
        <v>255295</v>
      </c>
      <c r="D7" s="7"/>
      <c r="E7" s="8"/>
      <c r="F7" s="8"/>
      <c r="G7" s="8"/>
    </row>
    <row r="8" spans="1:7" x14ac:dyDescent="0.4">
      <c r="A8" s="1" t="s">
        <v>20</v>
      </c>
      <c r="B8" s="2" t="s">
        <v>21</v>
      </c>
      <c r="C8" s="3">
        <v>286761</v>
      </c>
      <c r="D8" s="7">
        <v>1</v>
      </c>
      <c r="E8" s="8">
        <v>1</v>
      </c>
      <c r="F8" s="8">
        <v>1</v>
      </c>
      <c r="G8" s="8">
        <f t="shared" ref="G8:G15" si="2">(SUM(D8:F9))/3</f>
        <v>1</v>
      </c>
    </row>
    <row r="9" spans="1:7" ht="15" thickBot="1" x14ac:dyDescent="0.45">
      <c r="A9" s="4" t="s">
        <v>22</v>
      </c>
      <c r="B9" s="5" t="s">
        <v>23</v>
      </c>
      <c r="C9" s="6">
        <v>254049</v>
      </c>
      <c r="D9" s="7"/>
      <c r="E9" s="8"/>
      <c r="F9" s="8"/>
      <c r="G9" s="8"/>
    </row>
    <row r="10" spans="1:7" x14ac:dyDescent="0.4">
      <c r="A10" s="1" t="s">
        <v>24</v>
      </c>
      <c r="B10" s="2" t="s">
        <v>25</v>
      </c>
      <c r="C10" s="3">
        <v>285609</v>
      </c>
      <c r="D10" s="8">
        <v>1</v>
      </c>
      <c r="E10" s="8">
        <v>1</v>
      </c>
      <c r="F10" s="8">
        <v>1</v>
      </c>
      <c r="G10" s="8">
        <f t="shared" ref="G10:G15" si="3">(SUM(D10:F11))/3</f>
        <v>1</v>
      </c>
    </row>
    <row r="11" spans="1:7" ht="15" thickBot="1" x14ac:dyDescent="0.45">
      <c r="A11" s="4" t="s">
        <v>26</v>
      </c>
      <c r="B11" s="5" t="s">
        <v>27</v>
      </c>
      <c r="C11" s="6">
        <v>286945</v>
      </c>
      <c r="D11" s="8"/>
      <c r="E11" s="8"/>
      <c r="F11" s="8"/>
      <c r="G11" s="8"/>
    </row>
    <row r="12" spans="1:7" x14ac:dyDescent="0.4">
      <c r="A12" s="1" t="s">
        <v>28</v>
      </c>
      <c r="B12" s="2" t="s">
        <v>29</v>
      </c>
      <c r="C12" s="3">
        <v>276395</v>
      </c>
      <c r="D12" s="8">
        <v>1</v>
      </c>
      <c r="E12" s="8">
        <v>0.6</v>
      </c>
      <c r="F12" s="8">
        <v>0.9</v>
      </c>
      <c r="G12" s="8">
        <f t="shared" ref="G12:G15" si="4">(SUM(D12:F13))/3</f>
        <v>0.83333333333333337</v>
      </c>
    </row>
    <row r="13" spans="1:7" ht="15" thickBot="1" x14ac:dyDescent="0.45">
      <c r="A13" s="4" t="s">
        <v>28</v>
      </c>
      <c r="B13" s="5" t="s">
        <v>30</v>
      </c>
      <c r="C13" s="6">
        <v>285489</v>
      </c>
      <c r="D13" s="8"/>
      <c r="E13" s="8"/>
      <c r="F13" s="8"/>
      <c r="G13" s="8"/>
    </row>
    <row r="14" spans="1:7" ht="15" thickBot="1" x14ac:dyDescent="0.45">
      <c r="A14" s="4" t="s">
        <v>28</v>
      </c>
      <c r="B14" s="5" t="s">
        <v>31</v>
      </c>
      <c r="C14" s="6">
        <v>246173</v>
      </c>
      <c r="D14" s="8">
        <v>0</v>
      </c>
      <c r="E14" s="8">
        <v>0</v>
      </c>
      <c r="F14" s="8">
        <v>0</v>
      </c>
      <c r="G14" s="8">
        <f t="shared" ref="G14:G15" si="5">(SUM(D14:F15))/3</f>
        <v>0</v>
      </c>
    </row>
    <row r="15" spans="1:7" x14ac:dyDescent="0.4">
      <c r="D15" s="8"/>
      <c r="E15" s="8"/>
      <c r="F15" s="8"/>
      <c r="G15" s="8"/>
    </row>
  </sheetData>
  <mergeCells count="28">
    <mergeCell ref="G14:G15"/>
    <mergeCell ref="D14:D15"/>
    <mergeCell ref="E14:E15"/>
    <mergeCell ref="F14:F15"/>
    <mergeCell ref="D10:D11"/>
    <mergeCell ref="E10:E11"/>
    <mergeCell ref="F10:F11"/>
    <mergeCell ref="G10:G11"/>
    <mergeCell ref="D12:D13"/>
    <mergeCell ref="E12:E13"/>
    <mergeCell ref="F12:F13"/>
    <mergeCell ref="G12:G13"/>
    <mergeCell ref="D8:D9"/>
    <mergeCell ref="E8:E9"/>
    <mergeCell ref="F8:F9"/>
    <mergeCell ref="G8:G9"/>
    <mergeCell ref="F6:F7"/>
    <mergeCell ref="G6:G7"/>
    <mergeCell ref="D2:D3"/>
    <mergeCell ref="E2:E3"/>
    <mergeCell ref="F2:F3"/>
    <mergeCell ref="G2:G3"/>
    <mergeCell ref="D4:D5"/>
    <mergeCell ref="E4:E5"/>
    <mergeCell ref="F4:F5"/>
    <mergeCell ref="G4:G5"/>
    <mergeCell ref="D6:D7"/>
    <mergeCell ref="E6:E7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CB54-6D41-4464-A8D6-C426B6965A9D}">
  <dimension ref="A1:M1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2" sqref="M2:M15"/>
    </sheetView>
  </sheetViews>
  <sheetFormatPr baseColWidth="10" defaultRowHeight="14.6" x14ac:dyDescent="0.4"/>
  <cols>
    <col min="4" max="4" width="9" customWidth="1"/>
    <col min="5" max="5" width="9.3828125" customWidth="1"/>
    <col min="6" max="6" width="9.61328125" customWidth="1"/>
    <col min="7" max="7" width="10.4609375" customWidth="1"/>
    <col min="8" max="8" width="9.07421875" customWidth="1"/>
    <col min="9" max="9" width="9.3828125" customWidth="1"/>
    <col min="10" max="10" width="9.61328125" customWidth="1"/>
    <col min="11" max="11" width="19.69140625" customWidth="1"/>
    <col min="12" max="12" width="22.07421875" customWidth="1"/>
    <col min="13" max="13" width="12.61328125" customWidth="1"/>
  </cols>
  <sheetData>
    <row r="1" spans="1:13" ht="15" thickBot="1" x14ac:dyDescent="0.45">
      <c r="A1" t="s">
        <v>1</v>
      </c>
      <c r="B1" t="s">
        <v>0</v>
      </c>
      <c r="C1" t="s">
        <v>2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</row>
    <row r="2" spans="1:13" x14ac:dyDescent="0.4">
      <c r="A2" s="1" t="s">
        <v>8</v>
      </c>
      <c r="B2" s="2" t="s">
        <v>9</v>
      </c>
      <c r="C2" s="3">
        <v>281528</v>
      </c>
      <c r="D2" s="7">
        <v>1</v>
      </c>
      <c r="E2" s="8">
        <v>1</v>
      </c>
      <c r="F2" s="8">
        <v>1</v>
      </c>
      <c r="G2" s="8">
        <v>1</v>
      </c>
      <c r="H2" s="8">
        <v>0.5</v>
      </c>
      <c r="I2" s="8">
        <v>0</v>
      </c>
      <c r="J2" s="8">
        <v>0</v>
      </c>
      <c r="K2" s="8">
        <v>0.6</v>
      </c>
      <c r="L2" s="8">
        <v>1</v>
      </c>
      <c r="M2" s="8">
        <f>SUM(D2:J3)/7 *2</f>
        <v>1.2857142857142858</v>
      </c>
    </row>
    <row r="3" spans="1:13" ht="15" thickBot="1" x14ac:dyDescent="0.45">
      <c r="A3" s="4" t="s">
        <v>10</v>
      </c>
      <c r="B3" s="5" t="s">
        <v>11</v>
      </c>
      <c r="C3" s="6">
        <v>282193</v>
      </c>
      <c r="D3" s="7"/>
      <c r="E3" s="8"/>
      <c r="F3" s="8"/>
      <c r="G3" s="8"/>
      <c r="H3" s="8"/>
      <c r="I3" s="8"/>
      <c r="J3" s="8"/>
      <c r="K3" s="8"/>
      <c r="L3" s="8"/>
      <c r="M3" s="8"/>
    </row>
    <row r="4" spans="1:13" x14ac:dyDescent="0.4">
      <c r="A4" s="1" t="s">
        <v>12</v>
      </c>
      <c r="B4" s="2" t="s">
        <v>13</v>
      </c>
      <c r="C4" s="3">
        <v>255300</v>
      </c>
      <c r="D4" s="7">
        <v>1</v>
      </c>
      <c r="E4" s="8">
        <v>1</v>
      </c>
      <c r="F4" s="8">
        <v>1</v>
      </c>
      <c r="G4" s="8">
        <v>0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f t="shared" ref="M4:M15" si="0">SUM(D4:J5)/7 *2</f>
        <v>1.7142857142857142</v>
      </c>
    </row>
    <row r="5" spans="1:13" ht="15" thickBot="1" x14ac:dyDescent="0.45">
      <c r="A5" s="4" t="s">
        <v>14</v>
      </c>
      <c r="B5" s="5" t="s">
        <v>15</v>
      </c>
      <c r="C5" s="6">
        <v>276864</v>
      </c>
      <c r="D5" s="7"/>
      <c r="E5" s="8"/>
      <c r="F5" s="8"/>
      <c r="G5" s="8"/>
      <c r="H5" s="8"/>
      <c r="I5" s="8"/>
      <c r="J5" s="8"/>
      <c r="K5" s="8"/>
      <c r="L5" s="8"/>
      <c r="M5" s="8"/>
    </row>
    <row r="6" spans="1:13" x14ac:dyDescent="0.4">
      <c r="A6" s="1" t="s">
        <v>16</v>
      </c>
      <c r="B6" s="2" t="s">
        <v>17</v>
      </c>
      <c r="C6" s="3">
        <v>283749</v>
      </c>
      <c r="D6" s="7">
        <v>0.5</v>
      </c>
      <c r="E6" s="8">
        <v>1</v>
      </c>
      <c r="F6" s="8">
        <v>0</v>
      </c>
      <c r="G6" s="8">
        <v>1</v>
      </c>
      <c r="H6" s="8">
        <v>0</v>
      </c>
      <c r="I6" s="8">
        <v>1</v>
      </c>
      <c r="J6" s="8">
        <v>1</v>
      </c>
      <c r="K6" s="8">
        <v>1</v>
      </c>
      <c r="L6" s="8">
        <v>1</v>
      </c>
      <c r="M6" s="8">
        <f t="shared" ref="M6:M15" si="1">SUM(D6:J7)/7 *2</f>
        <v>1.2857142857142858</v>
      </c>
    </row>
    <row r="7" spans="1:13" ht="15" thickBot="1" x14ac:dyDescent="0.45">
      <c r="A7" s="4" t="s">
        <v>18</v>
      </c>
      <c r="B7" s="5" t="s">
        <v>19</v>
      </c>
      <c r="C7" s="6">
        <v>255295</v>
      </c>
      <c r="D7" s="7"/>
      <c r="E7" s="8"/>
      <c r="F7" s="8"/>
      <c r="G7" s="8"/>
      <c r="H7" s="8"/>
      <c r="I7" s="8"/>
      <c r="J7" s="8"/>
      <c r="K7" s="8"/>
      <c r="L7" s="8"/>
      <c r="M7" s="8"/>
    </row>
    <row r="8" spans="1:13" x14ac:dyDescent="0.4">
      <c r="A8" s="1" t="s">
        <v>20</v>
      </c>
      <c r="B8" s="2" t="s">
        <v>21</v>
      </c>
      <c r="C8" s="3">
        <v>286761</v>
      </c>
      <c r="D8" s="7">
        <v>1</v>
      </c>
      <c r="E8" s="8">
        <v>0</v>
      </c>
      <c r="F8" s="8">
        <v>1</v>
      </c>
      <c r="G8" s="8">
        <v>0</v>
      </c>
      <c r="H8" s="8">
        <v>0.66666666666666663</v>
      </c>
      <c r="I8" s="8">
        <v>1</v>
      </c>
      <c r="J8" s="8">
        <v>1</v>
      </c>
      <c r="K8" s="8">
        <v>1</v>
      </c>
      <c r="L8" s="8">
        <v>1</v>
      </c>
      <c r="M8" s="8">
        <f t="shared" ref="M8:M15" si="2">SUM(D8:J9)/7 *2</f>
        <v>1.3333333333333333</v>
      </c>
    </row>
    <row r="9" spans="1:13" ht="15" thickBot="1" x14ac:dyDescent="0.45">
      <c r="A9" s="4" t="s">
        <v>22</v>
      </c>
      <c r="B9" s="5" t="s">
        <v>23</v>
      </c>
      <c r="C9" s="6">
        <v>254049</v>
      </c>
      <c r="D9" s="7"/>
      <c r="E9" s="8"/>
      <c r="F9" s="8"/>
      <c r="G9" s="8"/>
      <c r="H9" s="8"/>
      <c r="I9" s="8"/>
      <c r="J9" s="8"/>
      <c r="K9" s="8"/>
      <c r="L9" s="8"/>
      <c r="M9" s="8"/>
    </row>
    <row r="10" spans="1:13" x14ac:dyDescent="0.4">
      <c r="A10" s="1" t="s">
        <v>24</v>
      </c>
      <c r="B10" s="2" t="s">
        <v>25</v>
      </c>
      <c r="C10" s="3">
        <v>285609</v>
      </c>
      <c r="D10" s="7">
        <v>1</v>
      </c>
      <c r="E10" s="8">
        <v>0.66666666666666663</v>
      </c>
      <c r="F10" s="8">
        <v>1</v>
      </c>
      <c r="G10" s="8">
        <v>0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f t="shared" ref="M10:M15" si="3">SUM(D10:J11)/7 *2</f>
        <v>1.6190476190476188</v>
      </c>
    </row>
    <row r="11" spans="1:13" ht="15" thickBot="1" x14ac:dyDescent="0.45">
      <c r="A11" s="4" t="s">
        <v>26</v>
      </c>
      <c r="B11" s="5" t="s">
        <v>27</v>
      </c>
      <c r="C11" s="6">
        <v>286945</v>
      </c>
      <c r="D11" s="7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4">
      <c r="A12" s="1" t="s">
        <v>28</v>
      </c>
      <c r="B12" s="2" t="s">
        <v>29</v>
      </c>
      <c r="C12" s="3">
        <v>276395</v>
      </c>
      <c r="D12" s="7">
        <v>0.83333333333333337</v>
      </c>
      <c r="E12" s="8">
        <v>0</v>
      </c>
      <c r="F12" s="8">
        <v>0</v>
      </c>
      <c r="G12" s="8">
        <v>0</v>
      </c>
      <c r="H12" s="8">
        <v>0.66666666666666663</v>
      </c>
      <c r="I12" s="8">
        <v>1</v>
      </c>
      <c r="J12" s="8">
        <v>1</v>
      </c>
      <c r="K12" s="8">
        <v>1</v>
      </c>
      <c r="L12" s="8">
        <v>1</v>
      </c>
      <c r="M12" s="8">
        <f t="shared" ref="M12:M15" si="4">SUM(D12:J13)/7 *2</f>
        <v>1</v>
      </c>
    </row>
    <row r="13" spans="1:13" ht="15" thickBot="1" x14ac:dyDescent="0.45">
      <c r="A13" s="4" t="s">
        <v>28</v>
      </c>
      <c r="B13" s="5" t="s">
        <v>30</v>
      </c>
      <c r="C13" s="6">
        <v>285489</v>
      </c>
      <c r="D13" s="7"/>
      <c r="E13" s="8"/>
      <c r="F13" s="8"/>
      <c r="G13" s="8"/>
      <c r="H13" s="8"/>
      <c r="I13" s="8"/>
      <c r="J13" s="8"/>
      <c r="K13" s="8"/>
      <c r="L13" s="8"/>
      <c r="M13" s="8"/>
    </row>
    <row r="14" spans="1:13" ht="15" thickBot="1" x14ac:dyDescent="0.45">
      <c r="A14" s="4" t="s">
        <v>28</v>
      </c>
      <c r="B14" s="5" t="s">
        <v>31</v>
      </c>
      <c r="C14" s="6">
        <v>246173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f t="shared" ref="M14:M15" si="5">SUM(D14:J15)/7 *2</f>
        <v>0</v>
      </c>
    </row>
    <row r="15" spans="1:13" x14ac:dyDescent="0.4">
      <c r="D15" s="8"/>
      <c r="E15" s="8"/>
      <c r="F15" s="8"/>
      <c r="G15" s="8"/>
      <c r="H15" s="8"/>
      <c r="I15" s="8"/>
      <c r="J15" s="8"/>
      <c r="K15" s="8"/>
      <c r="L15" s="8"/>
      <c r="M15" s="8"/>
    </row>
  </sheetData>
  <mergeCells count="70">
    <mergeCell ref="M12:M13"/>
    <mergeCell ref="M14:M15"/>
    <mergeCell ref="M2:M3"/>
    <mergeCell ref="M4:M5"/>
    <mergeCell ref="M6:M7"/>
    <mergeCell ref="M8:M9"/>
    <mergeCell ref="M10:M11"/>
    <mergeCell ref="K12:K13"/>
    <mergeCell ref="K14:K15"/>
    <mergeCell ref="L2:L3"/>
    <mergeCell ref="L4:L5"/>
    <mergeCell ref="L6:L7"/>
    <mergeCell ref="L8:L9"/>
    <mergeCell ref="L10:L11"/>
    <mergeCell ref="L12:L13"/>
    <mergeCell ref="L14:L15"/>
    <mergeCell ref="K2:K3"/>
    <mergeCell ref="K4:K5"/>
    <mergeCell ref="K6:K7"/>
    <mergeCell ref="K8:K9"/>
    <mergeCell ref="K10:K11"/>
    <mergeCell ref="I14:I15"/>
    <mergeCell ref="J14:J15"/>
    <mergeCell ref="D14:D15"/>
    <mergeCell ref="E14:E15"/>
    <mergeCell ref="F14:F15"/>
    <mergeCell ref="G14:G15"/>
    <mergeCell ref="H14:H15"/>
    <mergeCell ref="D12:D13"/>
    <mergeCell ref="E2:E3"/>
    <mergeCell ref="E4:E5"/>
    <mergeCell ref="E6:E7"/>
    <mergeCell ref="E8:E9"/>
    <mergeCell ref="E10:E11"/>
    <mergeCell ref="E12:E13"/>
    <mergeCell ref="D2:D3"/>
    <mergeCell ref="D4:D5"/>
    <mergeCell ref="D6:D7"/>
    <mergeCell ref="D8:D9"/>
    <mergeCell ref="D10:D11"/>
    <mergeCell ref="F12:F13"/>
    <mergeCell ref="G2:G3"/>
    <mergeCell ref="G4:G5"/>
    <mergeCell ref="G6:G7"/>
    <mergeCell ref="G8:G9"/>
    <mergeCell ref="G10:G11"/>
    <mergeCell ref="G12:G13"/>
    <mergeCell ref="F2:F3"/>
    <mergeCell ref="F4:F5"/>
    <mergeCell ref="F6:F7"/>
    <mergeCell ref="F8:F9"/>
    <mergeCell ref="F10:F11"/>
    <mergeCell ref="H12:H13"/>
    <mergeCell ref="I2:I3"/>
    <mergeCell ref="I4:I5"/>
    <mergeCell ref="I6:I7"/>
    <mergeCell ref="I8:I9"/>
    <mergeCell ref="I10:I11"/>
    <mergeCell ref="I12:I13"/>
    <mergeCell ref="H2:H3"/>
    <mergeCell ref="H4:H5"/>
    <mergeCell ref="H6:H7"/>
    <mergeCell ref="H8:H9"/>
    <mergeCell ref="H10:H11"/>
    <mergeCell ref="J12:J13"/>
    <mergeCell ref="J2:J3"/>
    <mergeCell ref="J4:J5"/>
    <mergeCell ref="J6:J7"/>
    <mergeCell ref="J8:J9"/>
    <mergeCell ref="J10:J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Practica12</vt:lpstr>
      <vt:lpstr>Practica11</vt:lpstr>
      <vt:lpstr>Practica10</vt:lpstr>
      <vt:lpstr>Actividad10</vt:lpstr>
      <vt:lpstr>Actividad9</vt:lpstr>
      <vt:lpstr>Actividad8</vt:lpstr>
      <vt:lpstr>Actividad7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Lince</dc:creator>
  <cp:lastModifiedBy>EDUARDO LINCE GOMEZ</cp:lastModifiedBy>
  <dcterms:created xsi:type="dcterms:W3CDTF">2015-06-05T18:19:34Z</dcterms:created>
  <dcterms:modified xsi:type="dcterms:W3CDTF">2025-12-05T05:23:59Z</dcterms:modified>
</cp:coreProperties>
</file>